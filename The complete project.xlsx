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LL\Documents\"/>
    </mc:Choice>
  </mc:AlternateContent>
  <xr:revisionPtr revIDLastSave="0" documentId="13_ncr:1_{5292606B-7453-4138-81A3-98610A8B25BC}" xr6:coauthVersionLast="47" xr6:coauthVersionMax="47" xr10:uidLastSave="{00000000-0000-0000-0000-000000000000}"/>
  <bookViews>
    <workbookView xWindow="-108" yWindow="-108" windowWidth="23256" windowHeight="12456" activeTab="4" xr2:uid="{11545D10-2267-4DBE-AA5B-8E18E7DF2C3A}"/>
  </bookViews>
  <sheets>
    <sheet name="data source" sheetId="1" r:id="rId1"/>
    <sheet name="الارشادات" sheetId="6" r:id="rId2"/>
    <sheet name="pivot TABLE" sheetId="15" r:id="rId3"/>
    <sheet name="الداتا النظيفة" sheetId="11" r:id="rId4"/>
    <sheet name="Dashboard" sheetId="16" r:id="rId5"/>
  </sheets>
  <definedNames>
    <definedName name="_xlnm._FilterDatabase" localSheetId="0" hidden="1">'data source'!$A$1:$U$128</definedName>
    <definedName name="ExternalData_1" localSheetId="3" hidden="1">'الداتا النظيفة'!$A$1:$X$127</definedName>
    <definedName name="Slicer_المحافظة">#N/A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1" l="1"/>
  <c r="S3" i="11"/>
  <c r="S4" i="11"/>
  <c r="S5" i="11"/>
  <c r="S6" i="11"/>
  <c r="S7" i="11"/>
  <c r="S8" i="11"/>
  <c r="S9" i="11"/>
  <c r="S10" i="11"/>
  <c r="S11" i="11"/>
  <c r="S12" i="11"/>
  <c r="S13" i="11"/>
  <c r="S14" i="11"/>
  <c r="S15" i="1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S45" i="11"/>
  <c r="S46" i="11"/>
  <c r="S47" i="11"/>
  <c r="S48" i="11"/>
  <c r="S49" i="11"/>
  <c r="S50" i="11"/>
  <c r="S51" i="11"/>
  <c r="S52" i="11"/>
  <c r="S53" i="11"/>
  <c r="S54" i="11"/>
  <c r="S55" i="11"/>
  <c r="S56" i="11"/>
  <c r="S57" i="11"/>
  <c r="S58" i="11"/>
  <c r="S59" i="11"/>
  <c r="S60" i="11"/>
  <c r="S61" i="11"/>
  <c r="S62" i="11"/>
  <c r="S63" i="11"/>
  <c r="S64" i="11"/>
  <c r="S65" i="11"/>
  <c r="S66" i="11"/>
  <c r="S67" i="11"/>
  <c r="S68" i="11"/>
  <c r="S69" i="11"/>
  <c r="S70" i="11"/>
  <c r="S71" i="11"/>
  <c r="S72" i="11"/>
  <c r="S73" i="11"/>
  <c r="S74" i="11"/>
  <c r="S75" i="11"/>
  <c r="S76" i="11"/>
  <c r="S77" i="11"/>
  <c r="S78" i="11"/>
  <c r="S79" i="11"/>
  <c r="S80" i="11"/>
  <c r="S81" i="11"/>
  <c r="S82" i="11"/>
  <c r="S83" i="11"/>
  <c r="S84" i="11"/>
  <c r="S85" i="11"/>
  <c r="S86" i="11"/>
  <c r="S87" i="11"/>
  <c r="S88" i="11"/>
  <c r="S89" i="11"/>
  <c r="S90" i="11"/>
  <c r="S91" i="11"/>
  <c r="S92" i="11"/>
  <c r="S93" i="11"/>
  <c r="S94" i="11"/>
  <c r="S95" i="11"/>
  <c r="S96" i="11"/>
  <c r="S97" i="11"/>
  <c r="S98" i="11"/>
  <c r="S99" i="11"/>
  <c r="S100" i="11"/>
  <c r="S101" i="11"/>
  <c r="S102" i="11"/>
  <c r="S103" i="11"/>
  <c r="S104" i="11"/>
  <c r="S105" i="11"/>
  <c r="S106" i="11"/>
  <c r="S107" i="11"/>
  <c r="S108" i="11"/>
  <c r="S109" i="11"/>
  <c r="S110" i="11"/>
  <c r="S111" i="11"/>
  <c r="S112" i="11"/>
  <c r="S113" i="11"/>
  <c r="S114" i="11"/>
  <c r="S115" i="11"/>
  <c r="S116" i="11"/>
  <c r="S117" i="11"/>
  <c r="S118" i="11"/>
  <c r="S119" i="11"/>
  <c r="S120" i="11"/>
  <c r="S121" i="11"/>
  <c r="S122" i="11"/>
  <c r="S123" i="11"/>
  <c r="S124" i="11"/>
  <c r="S125" i="11"/>
  <c r="S126" i="11"/>
  <c r="S127" i="11"/>
  <c r="B128" i="1"/>
  <c r="O128" i="1"/>
  <c r="P128" i="1"/>
  <c r="P3" i="1"/>
  <c r="P4" i="1"/>
  <c r="P6"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O3" i="1"/>
  <c r="O4" i="1"/>
  <c r="O6"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B58" i="1"/>
  <c r="Q58" i="1"/>
  <c r="P58" i="1" s="1"/>
  <c r="B59" i="1"/>
  <c r="Q59" i="1"/>
  <c r="O59" i="1" s="1"/>
  <c r="B60" i="1"/>
  <c r="Q60" i="1"/>
  <c r="O60" i="1" s="1"/>
  <c r="B61" i="1"/>
  <c r="Q61" i="1"/>
  <c r="O61" i="1" s="1"/>
  <c r="B7" i="1"/>
  <c r="Q7" i="1"/>
  <c r="P7" i="1" s="1"/>
  <c r="B8" i="1"/>
  <c r="Q8" i="1"/>
  <c r="O8" i="1" s="1"/>
  <c r="B5" i="1"/>
  <c r="Q5" i="1"/>
  <c r="O5" i="1" s="1"/>
  <c r="B2" i="1"/>
  <c r="Q2" i="1"/>
  <c r="P2" i="1" s="1"/>
  <c r="B3" i="1"/>
  <c r="B4" i="1"/>
  <c r="B6"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E14" i="15"/>
  <c r="I17" i="15"/>
  <c r="D18" i="15"/>
  <c r="O17" i="15"/>
  <c r="O2" i="1" l="1"/>
  <c r="O58" i="1"/>
  <c r="O7" i="1"/>
  <c r="P5" i="1"/>
  <c r="P61" i="1"/>
  <c r="P60" i="1"/>
  <c r="P59" i="1"/>
  <c r="P8" i="1"/>
  <c r="O130" i="1" l="1"/>
  <c r="P13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759135-F6A3-40AA-9B46-79669A6CC442}" keepAlive="1" name="Query - misuo" description="Connection to the 'misuo' query in the workbook." type="5" refreshedVersion="0" background="1">
    <dbPr connection="Provider=Microsoft.Mashup.OleDb.1;Data Source=$Workbook$;Location=misuo;Extended Properties=&quot;&quot;" command="SELECT * FROM [misuo]"/>
  </connection>
  <connection id="2" xr16:uid="{BA3CCE7E-A12E-4532-A8D0-A0A184C6F2D8}" keepAlive="1" name="Query - misuo (3)" description="Connection to the 'misuo (3)' query in the workbook." type="5" refreshedVersion="8" background="1" saveData="1">
    <dbPr connection="Provider=Microsoft.Mashup.OleDb.1;Data Source=$Workbook$;Location=&quot;misuo (3)&quot;;Extended Properties=&quot;&quot;" command="SELECT * FROM [misuo (3)]"/>
  </connection>
</connections>
</file>

<file path=xl/sharedStrings.xml><?xml version="1.0" encoding="utf-8"?>
<sst xmlns="http://schemas.openxmlformats.org/spreadsheetml/2006/main" count="3457" uniqueCount="344">
  <si>
    <t xml:space="preserve">مرفوض </t>
  </si>
  <si>
    <t>مسبق الدفع</t>
  </si>
  <si>
    <t>ابيض</t>
  </si>
  <si>
    <t>نوفال</t>
  </si>
  <si>
    <t xml:space="preserve">دورين </t>
  </si>
  <si>
    <t>سرير</t>
  </si>
  <si>
    <t>هومزمارت</t>
  </si>
  <si>
    <t>القطاميه</t>
  </si>
  <si>
    <t>هناء اسامه</t>
  </si>
  <si>
    <t xml:space="preserve">بيج </t>
  </si>
  <si>
    <t xml:space="preserve">اسود </t>
  </si>
  <si>
    <t>٢ ميكانزم</t>
  </si>
  <si>
    <t>العين السخنه</t>
  </si>
  <si>
    <t>تامر</t>
  </si>
  <si>
    <t xml:space="preserve">بنى غامق </t>
  </si>
  <si>
    <t>اسود</t>
  </si>
  <si>
    <t>رف سحاب</t>
  </si>
  <si>
    <t>القاهره الجديده</t>
  </si>
  <si>
    <t>نور</t>
  </si>
  <si>
    <t>بنى غامق</t>
  </si>
  <si>
    <t>ميكانزم</t>
  </si>
  <si>
    <t xml:space="preserve">دوران </t>
  </si>
  <si>
    <t>العميل رفض الاستلام</t>
  </si>
  <si>
    <t>كيفنج</t>
  </si>
  <si>
    <t>دورين</t>
  </si>
  <si>
    <t>المندره اسكندريه</t>
  </si>
  <si>
    <t>احمد عبد الستار</t>
  </si>
  <si>
    <t>حساب شركه</t>
  </si>
  <si>
    <t>امريكى</t>
  </si>
  <si>
    <t xml:space="preserve">فردى </t>
  </si>
  <si>
    <t xml:space="preserve">العباسيه </t>
  </si>
  <si>
    <t>كينج</t>
  </si>
  <si>
    <t>شيك هومز</t>
  </si>
  <si>
    <t>الوان</t>
  </si>
  <si>
    <t>فانتستيك</t>
  </si>
  <si>
    <t xml:space="preserve">اوسكار ريتن </t>
  </si>
  <si>
    <t>المعرض مدينه نصر</t>
  </si>
  <si>
    <t>اوسكار راتن</t>
  </si>
  <si>
    <t>منطبق</t>
  </si>
  <si>
    <t>الزمالك</t>
  </si>
  <si>
    <t>عمرو الأسود</t>
  </si>
  <si>
    <t>تربيزه</t>
  </si>
  <si>
    <t>اكتوبر الجيزه</t>
  </si>
  <si>
    <t>عبد الرحمن يسري</t>
  </si>
  <si>
    <t xml:space="preserve">كنبه سرير ٤ حركه </t>
  </si>
  <si>
    <t>رمادى</t>
  </si>
  <si>
    <t>4*1</t>
  </si>
  <si>
    <t>كنبة</t>
  </si>
  <si>
    <t>الغردقه</t>
  </si>
  <si>
    <t>حسام عبدون</t>
  </si>
  <si>
    <t xml:space="preserve"> ٢. سرير فورجينا ابيض مقاس ١٢٠</t>
  </si>
  <si>
    <t>فورجينا</t>
  </si>
  <si>
    <t>فردى</t>
  </si>
  <si>
    <t>الرحاب</t>
  </si>
  <si>
    <t xml:space="preserve">سرير نوفال  ٩٠ اسود </t>
  </si>
  <si>
    <t xml:space="preserve">الشروق القاهره </t>
  </si>
  <si>
    <t xml:space="preserve">ترابيزه قهوه علويه جديده </t>
  </si>
  <si>
    <t>2 ميكانزم</t>
  </si>
  <si>
    <t>المعادى</t>
  </si>
  <si>
    <t>صفاء</t>
  </si>
  <si>
    <t xml:space="preserve">سرير كينج ابيض مقاس ٨٠ التصميم الجديد </t>
  </si>
  <si>
    <t xml:space="preserve">مدينه نصر </t>
  </si>
  <si>
    <t>ellho elkafy</t>
  </si>
  <si>
    <t>سرير فردى خشب موسكى الحديد ابيض مقاس ٨٠</t>
  </si>
  <si>
    <t xml:space="preserve">٦ اكتوبر الجيزه </t>
  </si>
  <si>
    <t>٢ كنبه سحاره بمخدع</t>
  </si>
  <si>
    <t>سحارة</t>
  </si>
  <si>
    <t>العباسيه</t>
  </si>
  <si>
    <t>تم التسليم</t>
  </si>
  <si>
    <t xml:space="preserve">تم التسليم محمود على </t>
  </si>
  <si>
    <t>روك ١٠</t>
  </si>
  <si>
    <t>ارينا</t>
  </si>
  <si>
    <t>4×1</t>
  </si>
  <si>
    <t>مخزن شيك هومز</t>
  </si>
  <si>
    <t xml:space="preserve">سرير </t>
  </si>
  <si>
    <t>٦ اكتوبر الجيزه</t>
  </si>
  <si>
    <t>حمدى ذكرى</t>
  </si>
  <si>
    <t>دوران</t>
  </si>
  <si>
    <t xml:space="preserve">اب تاون كايرو التجمع </t>
  </si>
  <si>
    <t>مريم عنان</t>
  </si>
  <si>
    <t>العبور</t>
  </si>
  <si>
    <t>ازرق</t>
  </si>
  <si>
    <t xml:space="preserve">كيفنج </t>
  </si>
  <si>
    <t xml:space="preserve">المخزن ابو الغيط </t>
  </si>
  <si>
    <t>ابيض في بنى غامق</t>
  </si>
  <si>
    <t>محمد ناجى</t>
  </si>
  <si>
    <t>مكتبه</t>
  </si>
  <si>
    <t xml:space="preserve">جليم الإسكندرية </t>
  </si>
  <si>
    <t>رنا ميلاد</t>
  </si>
  <si>
    <t xml:space="preserve">تم التسليم م محمد </t>
  </si>
  <si>
    <t>t1</t>
  </si>
  <si>
    <t>تاكى</t>
  </si>
  <si>
    <t xml:space="preserve">اسبانى </t>
  </si>
  <si>
    <t xml:space="preserve">شبرا </t>
  </si>
  <si>
    <t>دهبي</t>
  </si>
  <si>
    <t xml:space="preserve">كوين </t>
  </si>
  <si>
    <t>فيسبوك</t>
  </si>
  <si>
    <t>مصر الجديده</t>
  </si>
  <si>
    <t>محمد حمدى</t>
  </si>
  <si>
    <t>ساره</t>
  </si>
  <si>
    <t xml:space="preserve">كيمت </t>
  </si>
  <si>
    <t>المخزن</t>
  </si>
  <si>
    <t xml:space="preserve">كينج </t>
  </si>
  <si>
    <t>التجمع الخامس</t>
  </si>
  <si>
    <t>صفاء عبد الباقي</t>
  </si>
  <si>
    <t>بنفسجى</t>
  </si>
  <si>
    <t>حماده</t>
  </si>
  <si>
    <t>منزلى</t>
  </si>
  <si>
    <t>بترولى</t>
  </si>
  <si>
    <t>مدينتى</t>
  </si>
  <si>
    <t>اسبانى</t>
  </si>
  <si>
    <t>بولا هومزمارت</t>
  </si>
  <si>
    <t>الشيخ زايد اكتوبر</t>
  </si>
  <si>
    <t>أكتوبر الجيزه</t>
  </si>
  <si>
    <t>فاطمه محمد</t>
  </si>
  <si>
    <t>خشب بنى فاتح</t>
  </si>
  <si>
    <t xml:space="preserve">نبيتى </t>
  </si>
  <si>
    <t>بلحه</t>
  </si>
  <si>
    <t>41 كومبوند جولدن جستس الدور 4 شقه 4</t>
  </si>
  <si>
    <t>هشام سامى</t>
  </si>
  <si>
    <t>بينك</t>
  </si>
  <si>
    <t>١٠٠/١٤٠</t>
  </si>
  <si>
    <t>البطاش اسكندريه</t>
  </si>
  <si>
    <t>reem</t>
  </si>
  <si>
    <t>tarek</t>
  </si>
  <si>
    <t>١٤٠/١٠٠</t>
  </si>
  <si>
    <t xml:space="preserve">نوفال </t>
  </si>
  <si>
    <t xml:space="preserve">القاهره الجديده </t>
  </si>
  <si>
    <t>keira</t>
  </si>
  <si>
    <t xml:space="preserve">بترولى </t>
  </si>
  <si>
    <t xml:space="preserve">أكتوبر </t>
  </si>
  <si>
    <t xml:space="preserve">تم التسليم بمعرفه الحج سيد </t>
  </si>
  <si>
    <t>شيزلونج</t>
  </si>
  <si>
    <t>السويس</t>
  </si>
  <si>
    <t xml:space="preserve">السويس </t>
  </si>
  <si>
    <t>الحج محمد السويس</t>
  </si>
  <si>
    <t>رصاصي مشجر</t>
  </si>
  <si>
    <t>فنيسيا</t>
  </si>
  <si>
    <t>بيج</t>
  </si>
  <si>
    <t>اسزد</t>
  </si>
  <si>
    <t>ملون</t>
  </si>
  <si>
    <t>فانتاستك</t>
  </si>
  <si>
    <t>التجمع</t>
  </si>
  <si>
    <t>ولاء بدوى</t>
  </si>
  <si>
    <t>اسود وبنى</t>
  </si>
  <si>
    <t>اسامه</t>
  </si>
  <si>
    <t>Madinet Badr</t>
  </si>
  <si>
    <t>Mohamed Ayman</t>
  </si>
  <si>
    <t>EL-Maadi</t>
  </si>
  <si>
    <t>mohannad</t>
  </si>
  <si>
    <t xml:space="preserve">سرير نوفال مقاس ٨٠ ابيض </t>
  </si>
  <si>
    <t xml:space="preserve">المقطم </t>
  </si>
  <si>
    <t>رحاب</t>
  </si>
  <si>
    <t xml:space="preserve">سرير نوفال ١٠٠ رمادى </t>
  </si>
  <si>
    <t>الشروق</t>
  </si>
  <si>
    <t xml:space="preserve">سرير كيفنج دورين مقاس ١٢٠ رمادى </t>
  </si>
  <si>
    <t xml:space="preserve">اسيوط </t>
  </si>
  <si>
    <t xml:space="preserve">   ٢. سرير اسبانى ابيض ١٢٠</t>
  </si>
  <si>
    <t xml:space="preserve">تربيزه قهوه مرتفعه برف سحاب </t>
  </si>
  <si>
    <t xml:space="preserve">سرير اسبانى  ١٤٠ اسود وبيج </t>
  </si>
  <si>
    <t xml:space="preserve">الشيخ زايد ٦ اكتوبر </t>
  </si>
  <si>
    <t xml:space="preserve">سرير منطبق اسود حديد ومعدن </t>
  </si>
  <si>
    <t>ميار خورشد</t>
  </si>
  <si>
    <t xml:space="preserve">ترابيزه قهوه متحركه </t>
  </si>
  <si>
    <t>بمكتبة</t>
  </si>
  <si>
    <t>تربيزه قهوه ٢ رافع</t>
  </si>
  <si>
    <t>فيصل الجيزه</t>
  </si>
  <si>
    <t xml:space="preserve">سرير ٣ ادوار اسود مقاس ٩٠ </t>
  </si>
  <si>
    <t>ثلاثه ادوار</t>
  </si>
  <si>
    <t xml:space="preserve">سرير كيفنج دورين مقاس ٨٠ ابيض </t>
  </si>
  <si>
    <t xml:space="preserve">سرير كينج ١٢٠ بنفسجى </t>
  </si>
  <si>
    <t>سرير استيل ازرق مقاس ١٤٠</t>
  </si>
  <si>
    <t xml:space="preserve">لافيستا العين السخنه </t>
  </si>
  <si>
    <t xml:space="preserve">الغردقه </t>
  </si>
  <si>
    <t xml:space="preserve">سرير ٣ ادوار ابيض مقاس ٨٠ ابيض </t>
  </si>
  <si>
    <t xml:space="preserve">            ٢ سرير كيفنج ١٠٠ اسود </t>
  </si>
  <si>
    <t xml:space="preserve">حدايق الاهرام </t>
  </si>
  <si>
    <t xml:space="preserve">سرير كيفنج ١٢٠ رمادى </t>
  </si>
  <si>
    <t xml:space="preserve">سرير كوين مقاس ١٤٠ دهبي ورمادى </t>
  </si>
  <si>
    <t>كورين</t>
  </si>
  <si>
    <t>وائل صادق</t>
  </si>
  <si>
    <t>سرير اسبانى اسود مقاس ١٢٠</t>
  </si>
  <si>
    <t xml:space="preserve">القطاميه </t>
  </si>
  <si>
    <t>سرير منطبق اسود حديد وقماش</t>
  </si>
  <si>
    <t xml:space="preserve">ترابيزه قهوه علويه برف سحاب </t>
  </si>
  <si>
    <t xml:space="preserve">الابراهيميه . الإسكندرية </t>
  </si>
  <si>
    <t>يوسف شناوى</t>
  </si>
  <si>
    <t xml:space="preserve">٢ سرير ارفيل ١٢٠ اسود </t>
  </si>
  <si>
    <t>ارفيل</t>
  </si>
  <si>
    <t xml:space="preserve">مخزن اوسكار في القناطر </t>
  </si>
  <si>
    <t>٢ سريرفورجينا خشب موسكى ابيض مقاس ١٢٠</t>
  </si>
  <si>
    <t xml:space="preserve">سرير كينج اسود </t>
  </si>
  <si>
    <t xml:space="preserve">سرير كينج ابيض </t>
  </si>
  <si>
    <t>سرير اسبانى ابيض ١٢٠</t>
  </si>
  <si>
    <t>حسن حازم</t>
  </si>
  <si>
    <t>٤سرير فردى خشب موسكى الحديد ابيض مقاس ٨٠</t>
  </si>
  <si>
    <t xml:space="preserve">٢ فوتيه فنيسيا </t>
  </si>
  <si>
    <t>فنسيا</t>
  </si>
  <si>
    <t>كرسى</t>
  </si>
  <si>
    <t xml:space="preserve">٢ سرير كيفنج ١٢٠ اسود </t>
  </si>
  <si>
    <t xml:space="preserve">التجمع الخامس </t>
  </si>
  <si>
    <t>سرير نوفال ابيض مقاس ٨٠</t>
  </si>
  <si>
    <t xml:space="preserve">٢ كنبه سحاره بدون مخدع </t>
  </si>
  <si>
    <t xml:space="preserve">ركنه </t>
  </si>
  <si>
    <t>ركنة بسرير</t>
  </si>
  <si>
    <t>ركنة</t>
  </si>
  <si>
    <t xml:space="preserve">سرير فردى ابيض </t>
  </si>
  <si>
    <t>yilmaz</t>
  </si>
  <si>
    <t xml:space="preserve">كنبه سرير رمادى </t>
  </si>
  <si>
    <t xml:space="preserve">كنبة </t>
  </si>
  <si>
    <t>ساندرا</t>
  </si>
  <si>
    <t>محمود</t>
  </si>
  <si>
    <t xml:space="preserve">سرير منطبق اسود والقماش اسود </t>
  </si>
  <si>
    <t>سموحه - اسكندريه</t>
  </si>
  <si>
    <t xml:space="preserve">سرير منطبق الحديد ابيض والقماش ابيض </t>
  </si>
  <si>
    <t>العجوزه - الجيزه</t>
  </si>
  <si>
    <t xml:space="preserve">سرير ٣ ادورا اسود مقاس ١٠٠ </t>
  </si>
  <si>
    <t xml:space="preserve">١٨ شارع البحيري بولاق الدكرور الجيزه </t>
  </si>
  <si>
    <t>عبير نور الدين</t>
  </si>
  <si>
    <t>فشل التسليم</t>
  </si>
  <si>
    <t>سرير منطببق اسود وقماش اسود</t>
  </si>
  <si>
    <t>صفاء الحكيم</t>
  </si>
  <si>
    <t>مرتجع</t>
  </si>
  <si>
    <t xml:space="preserve">سرير نوفال متر رمادى </t>
  </si>
  <si>
    <t xml:space="preserve">سيدى عبد الرحمن - الساحل الشمالى </t>
  </si>
  <si>
    <t xml:space="preserve">سرير كيفينج مقاس 90 لون ازرق </t>
  </si>
  <si>
    <t>سعيد</t>
  </si>
  <si>
    <t>الحالة</t>
  </si>
  <si>
    <t>المسئول عن التسليم</t>
  </si>
  <si>
    <t>تاريخ التسليم</t>
  </si>
  <si>
    <t>ميعاد التسليم</t>
  </si>
  <si>
    <t>ميعاد الطلب</t>
  </si>
  <si>
    <t xml:space="preserve">سعر البيع </t>
  </si>
  <si>
    <t>المنتج</t>
  </si>
  <si>
    <t>لون القماش</t>
  </si>
  <si>
    <t>اللون المعدن</t>
  </si>
  <si>
    <t>المقاس</t>
  </si>
  <si>
    <t>الاسم</t>
  </si>
  <si>
    <t>نوع الصنف</t>
  </si>
  <si>
    <t>الصنف</t>
  </si>
  <si>
    <t xml:space="preserve">منصة البيع </t>
  </si>
  <si>
    <t>العنوان</t>
  </si>
  <si>
    <t>أسم العميل</t>
  </si>
  <si>
    <t>افراد</t>
  </si>
  <si>
    <t>زينا</t>
  </si>
  <si>
    <t>لينا</t>
  </si>
  <si>
    <t>خالد عبد القوى</t>
  </si>
  <si>
    <t>شركات</t>
  </si>
  <si>
    <t>احمد</t>
  </si>
  <si>
    <t>تاكي</t>
  </si>
  <si>
    <t>على رشوان</t>
  </si>
  <si>
    <t>فيصل نعيم</t>
  </si>
  <si>
    <t>حاتم العيسوي</t>
  </si>
  <si>
    <t>رنا</t>
  </si>
  <si>
    <t>اسراء ابو العنين</t>
  </si>
  <si>
    <t>حسن مغرب</t>
  </si>
  <si>
    <t>هشام بسيونى</t>
  </si>
  <si>
    <t>ساره وجيه</t>
  </si>
  <si>
    <t>مها</t>
  </si>
  <si>
    <t>بسام الشربينى</t>
  </si>
  <si>
    <t>هبه عبد الفتاح</t>
  </si>
  <si>
    <t>اسراء ابراهيم</t>
  </si>
  <si>
    <t>طارق كمال</t>
  </si>
  <si>
    <t>ديفد بهجت</t>
  </si>
  <si>
    <t>اياد</t>
  </si>
  <si>
    <t>عبد الله سيد</t>
  </si>
  <si>
    <t>كينج سونا</t>
  </si>
  <si>
    <t>احمد ايمن</t>
  </si>
  <si>
    <t>مصطفي غنيم</t>
  </si>
  <si>
    <t>رامى</t>
  </si>
  <si>
    <t>فؤاد المنسي</t>
  </si>
  <si>
    <t>محمد شكرى</t>
  </si>
  <si>
    <t>رندا العامرى</t>
  </si>
  <si>
    <t>بافلى هانى</t>
  </si>
  <si>
    <t>محمد عادل</t>
  </si>
  <si>
    <t>هبه عطيه</t>
  </si>
  <si>
    <t>احمد فخرى</t>
  </si>
  <si>
    <t>على السيد</t>
  </si>
  <si>
    <t>احمد خالد</t>
  </si>
  <si>
    <t>الحالة2</t>
  </si>
  <si>
    <t>المحافظة</t>
  </si>
  <si>
    <t>مطروح</t>
  </si>
  <si>
    <t>القاهرة</t>
  </si>
  <si>
    <t>الجيزة</t>
  </si>
  <si>
    <t>الإسكندرية</t>
  </si>
  <si>
    <t>البحر الأحمر</t>
  </si>
  <si>
    <r>
      <t>(</t>
    </r>
    <r>
      <rPr>
        <sz val="12"/>
        <color theme="1"/>
        <rFont val="Arial"/>
        <family val="2"/>
      </rPr>
      <t>خلية فارغة</t>
    </r>
    <r>
      <rPr>
        <sz val="12"/>
        <color theme="1"/>
        <rFont val="Calibri"/>
        <family val="2"/>
        <scheme val="minor"/>
      </rPr>
      <t>)</t>
    </r>
  </si>
  <si>
    <t>القليوبية</t>
  </si>
  <si>
    <t>أسيوط</t>
  </si>
  <si>
    <r>
      <t>(</t>
    </r>
    <r>
      <rPr>
        <sz val="12"/>
        <color theme="1"/>
        <rFont val="Arial"/>
        <family val="2"/>
      </rPr>
      <t>حسب موقع المخزن - غالباً الجيزة/أكتوبر</t>
    </r>
    <r>
      <rPr>
        <sz val="12"/>
        <color theme="1"/>
        <rFont val="Calibri"/>
        <family val="2"/>
        <scheme val="minor"/>
      </rPr>
      <t>)</t>
    </r>
  </si>
  <si>
    <r>
      <t>(</t>
    </r>
    <r>
      <rPr>
        <sz val="12"/>
        <color theme="1"/>
        <rFont val="Arial"/>
        <family val="2"/>
      </rPr>
      <t>حسب موقع المخزن</t>
    </r>
    <r>
      <rPr>
        <sz val="12"/>
        <color theme="1"/>
        <rFont val="Calibri"/>
        <family val="2"/>
        <scheme val="minor"/>
      </rPr>
      <t>)</t>
    </r>
  </si>
  <si>
    <t>طريقة الدفع</t>
  </si>
  <si>
    <t>معاد التسليم الفعلي</t>
  </si>
  <si>
    <t>معاد التسليم الهدف</t>
  </si>
  <si>
    <t>تم التسليم عن طريق شركه شحن</t>
  </si>
  <si>
    <t>كاش</t>
  </si>
  <si>
    <t xml:space="preserve"> قم بتصميم Dashboard</t>
  </si>
  <si>
    <t xml:space="preserve">معتمدا علي الهدف الأساسي المتمثل في " تحديد المنتجات الأعلى والأقل مبيعًا " </t>
  </si>
  <si>
    <t>مستندا الي  KPIS الأساسية :</t>
  </si>
  <si>
    <t>إجمالي المبيعات (Total Sales)</t>
  </si>
  <si>
    <t xml:space="preserve">عدد الطلبات (Total Orders) </t>
  </si>
  <si>
    <t>متوسط سعر البيع (Average Selling Price)</t>
  </si>
  <si>
    <t>عدد المنتجات المباعة حسب المنصة (Sales by Platform)</t>
  </si>
  <si>
    <t xml:space="preserve">المنتج الأكثر مبيعا   Best  Seller </t>
  </si>
  <si>
    <t xml:space="preserve">اللون الأكثر مبيعا Best Color sold </t>
  </si>
  <si>
    <t>نسبة الطلبات المسلمة في الموعد (On-time Delivery Rate).</t>
  </si>
  <si>
    <t>نسبة الطلبات  الملغاة التي لم تتسلم (Delivery Status Breakdown)</t>
  </si>
  <si>
    <t>المدينة الأكثر مبيعا   (Orders by Area).</t>
  </si>
  <si>
    <t xml:space="preserve">عدد الأفراد والشركات التي تتعامل معها شركة مسيو </t>
  </si>
  <si>
    <t xml:space="preserve">Sum of سعر البيع </t>
  </si>
  <si>
    <t>Row Labels</t>
  </si>
  <si>
    <t>Grand Total</t>
  </si>
  <si>
    <t>Count of الصنف</t>
  </si>
  <si>
    <t xml:space="preserve">Average of سعر البيع </t>
  </si>
  <si>
    <t>(خلية فارغة)</t>
  </si>
  <si>
    <t>(حسب موقع المخزن)</t>
  </si>
  <si>
    <t>اللون</t>
  </si>
  <si>
    <t>كيفينج</t>
  </si>
  <si>
    <t>أزرق</t>
  </si>
  <si>
    <t>رمادي</t>
  </si>
  <si>
    <t>ترابيزة</t>
  </si>
  <si>
    <t>موديل عام</t>
  </si>
  <si>
    <t>لم يُحدد</t>
  </si>
  <si>
    <t>أسود</t>
  </si>
  <si>
    <t>أبيض</t>
  </si>
  <si>
    <t>فوتيه</t>
  </si>
  <si>
    <t>إسباني</t>
  </si>
  <si>
    <t>كوين</t>
  </si>
  <si>
    <t>غير معروف/فارغ</t>
  </si>
  <si>
    <t>فارغ/غير معروف</t>
  </si>
  <si>
    <t>الصنف2</t>
  </si>
  <si>
    <t>نوع الصنف2</t>
  </si>
  <si>
    <t>الحالة المعدلة</t>
  </si>
  <si>
    <t>نوع العميل</t>
  </si>
  <si>
    <t>Count of المنتج</t>
  </si>
  <si>
    <t>Count of اللون</t>
  </si>
  <si>
    <t>في الموعد</t>
  </si>
  <si>
    <t>متأخر</t>
  </si>
  <si>
    <t>حالة الالتزام</t>
  </si>
  <si>
    <t>فراغ قيم</t>
  </si>
  <si>
    <t>نسبة الطلبات  الملغاة التي لم تتسلم</t>
  </si>
  <si>
    <t>Count of الحالة المعدلة</t>
  </si>
  <si>
    <t>Count of المحافظة</t>
  </si>
  <si>
    <t>Count of نوع العميل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</si>
</sst>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2000401]0"/>
    <numFmt numFmtId="165" formatCode="_(* #,##0_);_(* \(#,##0\);_(* &quot;-&quot;??_);_(@_)"/>
  </numFmts>
  <fonts count="15" x14ac:knownFonts="1">
    <font>
      <sz val="11"/>
      <color theme="1"/>
      <name val="Calibri"/>
      <family val="2"/>
      <scheme val="minor"/>
    </font>
    <font>
      <sz val="11"/>
      <name val="Calibri"/>
      <family val="2"/>
      <scheme val="minor"/>
    </font>
    <font>
      <sz val="16"/>
      <color theme="1"/>
      <name val="Calibri"/>
      <family val="2"/>
      <scheme val="minor"/>
    </font>
    <font>
      <sz val="10"/>
      <color rgb="FF898989"/>
      <name val="Arial"/>
      <family val="2"/>
    </font>
    <font>
      <b/>
      <sz val="12"/>
      <color theme="1"/>
      <name val="Calibri"/>
      <family val="2"/>
      <scheme val="minor"/>
    </font>
    <font>
      <sz val="12"/>
      <color theme="1"/>
      <name val="Calibri"/>
      <family val="2"/>
      <scheme val="minor"/>
    </font>
    <font>
      <sz val="12"/>
      <color theme="1"/>
      <name val="Arial"/>
      <family val="2"/>
    </font>
    <font>
      <b/>
      <sz val="14"/>
      <color theme="4" tint="-0.249977111117893"/>
      <name val="Times New Roman"/>
      <family val="1"/>
    </font>
    <font>
      <b/>
      <sz val="20"/>
      <color rgb="FFFF0000"/>
      <name val="Times New Roman"/>
      <family val="1"/>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sz val="8"/>
      <name val="Calibri"/>
      <family val="2"/>
      <scheme val="minor"/>
    </font>
    <font>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2F2F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4" fillId="0" borderId="0" applyFont="0" applyFill="0" applyBorder="0" applyAlignment="0" applyProtection="0"/>
  </cellStyleXfs>
  <cellXfs count="57">
    <xf numFmtId="0" fontId="0" fillId="0" borderId="0" xfId="0"/>
    <xf numFmtId="0" fontId="9" fillId="2" borderId="0" xfId="0" applyFont="1" applyFill="1"/>
    <xf numFmtId="0" fontId="0" fillId="2" borderId="0" xfId="0" applyFill="1"/>
    <xf numFmtId="0" fontId="8" fillId="2" borderId="0" xfId="0" applyFont="1" applyFill="1"/>
    <xf numFmtId="0" fontId="11" fillId="2" borderId="0" xfId="0" applyFont="1" applyFill="1"/>
    <xf numFmtId="0" fontId="12" fillId="2" borderId="0" xfId="0" applyFont="1" applyFill="1"/>
    <xf numFmtId="0" fontId="7" fillId="2" borderId="0" xfId="0" applyFont="1" applyFill="1"/>
    <xf numFmtId="0" fontId="10" fillId="2" borderId="0" xfId="0" applyFont="1" applyFill="1" applyAlignment="1">
      <alignment horizontal="right"/>
    </xf>
    <xf numFmtId="0" fontId="10" fillId="2" borderId="0" xfId="0" applyFont="1" applyFill="1"/>
    <xf numFmtId="14"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right" vertical="center" readingOrder="2"/>
    </xf>
    <xf numFmtId="0" fontId="4" fillId="0" borderId="2" xfId="0" applyFont="1" applyBorder="1" applyAlignment="1">
      <alignment horizontal="center" vertical="center" readingOrder="2"/>
    </xf>
    <xf numFmtId="0" fontId="4" fillId="0" borderId="4" xfId="0" applyFont="1" applyBorder="1" applyAlignment="1">
      <alignment horizontal="right" vertical="center" readingOrder="2"/>
    </xf>
    <xf numFmtId="1" fontId="4" fillId="0" borderId="2" xfId="0" applyNumberFormat="1" applyFont="1" applyBorder="1" applyAlignment="1">
      <alignment horizontal="right" vertical="center" readingOrder="2"/>
    </xf>
    <xf numFmtId="14" fontId="4" fillId="0" borderId="2" xfId="0" applyNumberFormat="1" applyFont="1" applyBorder="1" applyAlignment="1">
      <alignment horizontal="right" vertical="center" readingOrder="2"/>
    </xf>
    <xf numFmtId="0" fontId="0" fillId="0" borderId="2" xfId="0" applyBorder="1" applyAlignment="1">
      <alignment horizontal="right" vertical="center" readingOrder="2"/>
    </xf>
    <xf numFmtId="0" fontId="0" fillId="0" borderId="0" xfId="0" applyAlignment="1">
      <alignment horizontal="right" vertical="center" readingOrder="2"/>
    </xf>
    <xf numFmtId="0" fontId="6" fillId="0" borderId="0" xfId="0" applyFont="1" applyAlignment="1">
      <alignment horizontal="right" vertical="center" readingOrder="2"/>
    </xf>
    <xf numFmtId="0" fontId="0" fillId="0" borderId="2" xfId="0" applyBorder="1" applyAlignment="1">
      <alignment horizontal="center" vertical="center" readingOrder="2"/>
    </xf>
    <xf numFmtId="0" fontId="0" fillId="0" borderId="1" xfId="0" applyBorder="1" applyAlignment="1">
      <alignment horizontal="right" vertical="center" readingOrder="2"/>
    </xf>
    <xf numFmtId="0" fontId="0" fillId="0" borderId="2" xfId="0" applyBorder="1" applyAlignment="1">
      <alignment horizontal="left" vertical="center" readingOrder="2"/>
    </xf>
    <xf numFmtId="1" fontId="0" fillId="0" borderId="2" xfId="0" applyNumberFormat="1" applyBorder="1" applyAlignment="1">
      <alignment horizontal="right" vertical="center" readingOrder="2"/>
    </xf>
    <xf numFmtId="14" fontId="0" fillId="0" borderId="2" xfId="0" applyNumberFormat="1" applyBorder="1" applyAlignment="1">
      <alignment horizontal="right" vertical="center" readingOrder="2"/>
    </xf>
    <xf numFmtId="0" fontId="0" fillId="0" borderId="1" xfId="0" applyBorder="1" applyAlignment="1">
      <alignment horizontal="left" vertical="center" readingOrder="2"/>
    </xf>
    <xf numFmtId="1" fontId="0" fillId="0" borderId="1" xfId="0" applyNumberFormat="1" applyBorder="1" applyAlignment="1">
      <alignment horizontal="right" vertical="center" readingOrder="2"/>
    </xf>
    <xf numFmtId="14" fontId="0" fillId="0" borderId="1" xfId="0" applyNumberFormat="1" applyBorder="1" applyAlignment="1">
      <alignment horizontal="right" vertical="center" readingOrder="2"/>
    </xf>
    <xf numFmtId="0" fontId="0" fillId="0" borderId="1" xfId="0" applyBorder="1" applyAlignment="1">
      <alignment horizontal="center" vertical="center" readingOrder="2"/>
    </xf>
    <xf numFmtId="0" fontId="1" fillId="0" borderId="1" xfId="0" applyFont="1" applyBorder="1" applyAlignment="1">
      <alignment horizontal="right" vertical="center" readingOrder="2"/>
    </xf>
    <xf numFmtId="0" fontId="1" fillId="0" borderId="1" xfId="0" applyFont="1" applyBorder="1" applyAlignment="1">
      <alignment horizontal="center" vertical="center" readingOrder="2"/>
    </xf>
    <xf numFmtId="0" fontId="1" fillId="0" borderId="1" xfId="0" applyFont="1" applyBorder="1" applyAlignment="1">
      <alignment horizontal="left" vertical="center" readingOrder="2"/>
    </xf>
    <xf numFmtId="1" fontId="1" fillId="0" borderId="1" xfId="0" applyNumberFormat="1" applyFont="1" applyBorder="1" applyAlignment="1">
      <alignment horizontal="right" vertical="center" readingOrder="2"/>
    </xf>
    <xf numFmtId="14" fontId="1" fillId="0" borderId="1" xfId="0" applyNumberFormat="1" applyFont="1" applyBorder="1" applyAlignment="1">
      <alignment horizontal="right" vertical="center" readingOrder="2"/>
    </xf>
    <xf numFmtId="0" fontId="5" fillId="0" borderId="0" xfId="0" applyFont="1" applyAlignment="1">
      <alignment horizontal="right" vertical="center" readingOrder="2"/>
    </xf>
    <xf numFmtId="0" fontId="0" fillId="0" borderId="3" xfId="0" applyBorder="1" applyAlignment="1">
      <alignment horizontal="right" vertical="center" readingOrder="2"/>
    </xf>
    <xf numFmtId="0" fontId="1" fillId="0" borderId="3" xfId="0" applyFont="1" applyBorder="1" applyAlignment="1">
      <alignment horizontal="right" vertical="center" readingOrder="2"/>
    </xf>
    <xf numFmtId="0" fontId="3" fillId="0" borderId="1" xfId="0" applyFont="1" applyBorder="1" applyAlignment="1">
      <alignment horizontal="right" readingOrder="2"/>
    </xf>
    <xf numFmtId="164" fontId="0" fillId="0" borderId="1" xfId="0" applyNumberFormat="1" applyBorder="1" applyAlignment="1">
      <alignment horizontal="right" vertical="center" readingOrder="2"/>
    </xf>
    <xf numFmtId="0" fontId="2" fillId="0" borderId="1" xfId="0" applyFont="1" applyBorder="1" applyAlignment="1">
      <alignment horizontal="left" readingOrder="2"/>
    </xf>
    <xf numFmtId="0" fontId="2" fillId="0" borderId="1" xfId="0" applyFont="1" applyBorder="1" applyAlignment="1">
      <alignment horizontal="right" readingOrder="2"/>
    </xf>
    <xf numFmtId="0" fontId="0" fillId="0" borderId="0" xfId="0" applyAlignment="1">
      <alignment horizontal="left" vertical="center" readingOrder="2"/>
    </xf>
    <xf numFmtId="14" fontId="0" fillId="0" borderId="0" xfId="0" applyNumberFormat="1" applyAlignment="1">
      <alignment horizontal="right" vertical="center" readingOrder="2"/>
    </xf>
    <xf numFmtId="0" fontId="0" fillId="0" borderId="0" xfId="0" applyAlignment="1">
      <alignment horizontal="right" readingOrder="2"/>
    </xf>
    <xf numFmtId="0" fontId="0" fillId="0" borderId="5" xfId="0" applyBorder="1" applyAlignment="1">
      <alignment horizontal="right" vertical="center" readingOrder="2"/>
    </xf>
    <xf numFmtId="1" fontId="0" fillId="0" borderId="0" xfId="0" applyNumberFormat="1" applyAlignment="1">
      <alignment horizontal="right" vertical="center" readingOrder="2"/>
    </xf>
    <xf numFmtId="0" fontId="0" fillId="2" borderId="0" xfId="0" applyFill="1" applyAlignment="1">
      <alignment horizontal="center"/>
    </xf>
    <xf numFmtId="0" fontId="0" fillId="2" borderId="0" xfId="0" applyFill="1" applyAlignment="1">
      <alignment vertical="center"/>
    </xf>
    <xf numFmtId="0" fontId="0" fillId="2" borderId="0" xfId="0" applyFill="1" applyAlignment="1">
      <alignment horizontal="left"/>
    </xf>
    <xf numFmtId="1" fontId="0" fillId="2" borderId="0" xfId="0" applyNumberFormat="1" applyFill="1"/>
    <xf numFmtId="10" fontId="0" fillId="2" borderId="0" xfId="0" applyNumberFormat="1" applyFill="1"/>
    <xf numFmtId="0" fontId="0" fillId="4" borderId="0" xfId="0" applyFill="1"/>
    <xf numFmtId="165" fontId="0" fillId="2" borderId="0" xfId="1" applyNumberFormat="1" applyFont="1" applyFill="1"/>
    <xf numFmtId="0" fontId="0" fillId="3" borderId="0" xfId="0" applyFill="1" applyAlignment="1">
      <alignment horizontal="center"/>
    </xf>
    <xf numFmtId="0" fontId="0" fillId="3" borderId="0" xfId="0" applyFill="1" applyAlignment="1">
      <alignment horizontal="center" vertical="center"/>
    </xf>
    <xf numFmtId="0" fontId="0" fillId="0" borderId="0" xfId="0" applyAlignment="1">
      <alignment horizontal="center"/>
    </xf>
    <xf numFmtId="0" fontId="0" fillId="4" borderId="0" xfId="0" applyFill="1" applyAlignment="1">
      <alignment horizontal="center"/>
    </xf>
  </cellXfs>
  <cellStyles count="2">
    <cellStyle name="Comma" xfId="1" builtinId="3"/>
    <cellStyle name="Normal" xfId="0" builtinId="0"/>
  </cellStyles>
  <dxfs count="144">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 formatCode="0"/>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 formatCode="0"/>
    </dxf>
    <dxf>
      <numFmt numFmtId="1" formatCode="0"/>
    </dxf>
    <dxf>
      <alignment horizontal="right" vertical="bottom" textRotation="0" wrapText="0" indent="0" justifyLastLine="0" shrinkToFit="0" readingOrder="2"/>
    </dxf>
    <dxf>
      <fill>
        <patternFill patternType="none">
          <fgColor indexed="64"/>
          <bgColor indexed="65"/>
        </patternFill>
      </fill>
      <alignment horizontal="right" textRotation="0" wrapText="0" indent="0" justifyLastLine="0" shrinkToFit="0" readingOrder="2"/>
    </dxf>
    <dxf>
      <alignment horizontal="right" vertical="center" textRotation="0" wrapText="0" indent="0" justifyLastLine="0" shrinkToFit="0" readingOrder="2"/>
    </dxf>
    <dxf>
      <fill>
        <patternFill patternType="none">
          <fgColor indexed="64"/>
          <bgColor indexed="65"/>
        </patternFill>
      </fill>
      <alignment horizontal="right" vertical="center" textRotation="0" wrapText="0" indent="0" justifyLastLine="0" shrinkToFit="0" readingOrder="2"/>
    </dxf>
    <dxf>
      <numFmt numFmtId="19" formatCode="m/d/yyyy"/>
      <alignment horizontal="right" vertical="center" textRotation="0" wrapText="0" indent="0" justifyLastLine="0" shrinkToFit="0" readingOrder="2"/>
    </dxf>
    <dxf>
      <numFmt numFmtId="19" formatCode="m/d/yyyy"/>
      <fill>
        <patternFill patternType="none">
          <fgColor indexed="64"/>
          <bgColor indexed="65"/>
        </patternFill>
      </fill>
      <alignment horizontal="right" vertical="center" textRotation="0" wrapText="0" indent="0" justifyLastLine="0" shrinkToFit="0" readingOrder="2"/>
    </dxf>
    <dxf>
      <numFmt numFmtId="19" formatCode="m/d/yyyy"/>
      <alignment horizontal="right" vertical="center" textRotation="0" wrapText="0" indent="0" justifyLastLine="0" shrinkToFit="0" readingOrder="2"/>
    </dxf>
    <dxf>
      <numFmt numFmtId="19" formatCode="m/d/yyyy"/>
      <fill>
        <patternFill patternType="none">
          <fgColor indexed="64"/>
          <bgColor indexed="65"/>
        </patternFill>
      </fill>
      <alignment horizontal="right" vertical="center" textRotation="0" wrapText="0" indent="0" justifyLastLine="0" shrinkToFit="0" readingOrder="2"/>
    </dxf>
    <dxf>
      <numFmt numFmtId="19" formatCode="m/d/yyyy"/>
      <alignment horizontal="right" vertical="center" textRotation="0" wrapText="0" indent="0" justifyLastLine="0" shrinkToFit="0" readingOrder="2"/>
    </dxf>
    <dxf>
      <numFmt numFmtId="19" formatCode="m/d/yyyy"/>
      <fill>
        <patternFill patternType="none">
          <fgColor indexed="64"/>
          <bgColor indexed="65"/>
        </patternFill>
      </fill>
      <alignment horizontal="right" vertical="center" textRotation="0" wrapText="0" indent="0" justifyLastLine="0" shrinkToFit="0" readingOrder="2"/>
    </dxf>
    <dxf>
      <numFmt numFmtId="1" formatCode="0"/>
      <alignment horizontal="right" vertical="center" textRotation="0" wrapText="0" indent="0" justifyLastLine="0" shrinkToFit="0" readingOrder="2"/>
    </dxf>
    <dxf>
      <numFmt numFmtId="1" formatCode="0"/>
      <alignment horizontal="right" vertical="center" textRotation="0" wrapText="0" indent="0" justifyLastLine="0" shrinkToFit="0" readingOrder="2"/>
      <border diagonalUp="0" diagonalDown="0" outline="0">
        <left style="thin">
          <color indexed="64"/>
        </left>
        <right style="thin">
          <color indexed="64"/>
        </right>
        <top style="thin">
          <color indexed="64"/>
        </top>
        <bottom style="thin">
          <color indexed="64"/>
        </bottom>
      </border>
    </dxf>
    <dxf>
      <numFmt numFmtId="1" formatCode="0"/>
      <alignment horizontal="right" vertical="center" textRotation="0" wrapText="0" indent="0" justifyLastLine="0" shrinkToFit="0" readingOrder="2"/>
    </dxf>
    <dxf>
      <numFmt numFmtId="1" formatCode="0"/>
      <alignment horizontal="right" vertical="center" textRotation="0" wrapText="0" indent="0" justifyLastLine="0" shrinkToFit="0" readingOrder="2"/>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2"/>
    </dxf>
    <dxf>
      <numFmt numFmtId="0" formatCode="General"/>
      <alignment horizontal="right" vertical="center" textRotation="0" wrapText="0" indent="0" justifyLastLine="0" shrinkToFit="0" readingOrder="2"/>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2"/>
    </dxf>
    <dxf>
      <fill>
        <patternFill patternType="none">
          <fgColor indexed="64"/>
          <bgColor indexed="65"/>
        </patternFill>
      </fill>
      <alignment horizontal="left" vertical="center" textRotation="0" wrapText="0" indent="0" justifyLastLine="0" shrinkToFit="0" readingOrder="2"/>
    </dxf>
    <dxf>
      <alignment horizontal="right" vertical="center" textRotation="0" wrapText="0" indent="0" justifyLastLine="0" shrinkToFit="0" readingOrder="2"/>
    </dxf>
    <dxf>
      <fill>
        <patternFill patternType="none">
          <fgColor indexed="64"/>
          <bgColor indexed="65"/>
        </patternFill>
      </fill>
      <alignment horizontal="right" vertical="center" textRotation="0" wrapText="0" indent="0" justifyLastLine="0" shrinkToFit="0" readingOrder="2"/>
    </dxf>
    <dxf>
      <alignment horizontal="right" vertical="center" textRotation="0" wrapText="0" indent="0" justifyLastLine="0" shrinkToFit="0" readingOrder="2"/>
    </dxf>
    <dxf>
      <fill>
        <patternFill patternType="none">
          <fgColor indexed="64"/>
          <bgColor indexed="65"/>
        </patternFill>
      </fill>
      <alignment horizontal="right" vertical="center" textRotation="0" wrapText="0" indent="0" justifyLastLine="0" shrinkToFit="0" readingOrder="2"/>
    </dxf>
    <dxf>
      <alignment horizontal="right" vertical="center" textRotation="0" wrapText="0" indent="0" justifyLastLine="0" shrinkToFit="0" readingOrder="2"/>
    </dxf>
    <dxf>
      <fill>
        <patternFill patternType="none">
          <fgColor indexed="64"/>
          <bgColor indexed="65"/>
        </patternFill>
      </fill>
      <alignment horizontal="right" vertical="center" textRotation="0" wrapText="0" indent="0" justifyLastLine="0" shrinkToFit="0" readingOrder="2"/>
    </dxf>
    <dxf>
      <alignment horizontal="right" vertical="center" textRotation="0" wrapText="0" indent="0" justifyLastLine="0" shrinkToFit="0" readingOrder="2"/>
    </dxf>
    <dxf>
      <fill>
        <patternFill patternType="none">
          <fgColor indexed="64"/>
          <bgColor indexed="65"/>
        </patternFill>
      </fill>
      <alignment horizontal="right" vertical="center" textRotation="0" wrapText="0" indent="0" justifyLastLine="0" shrinkToFit="0" readingOrder="2"/>
    </dxf>
    <dxf>
      <alignment horizontal="right" vertical="center" textRotation="0" wrapText="0" indent="0" justifyLastLine="0" shrinkToFit="0" readingOrder="2"/>
    </dxf>
    <dxf>
      <fill>
        <patternFill patternType="none">
          <fgColor indexed="64"/>
          <bgColor indexed="65"/>
        </patternFill>
      </fill>
      <alignment horizontal="right" vertical="center" textRotation="0" wrapText="0" indent="0" justifyLastLine="0" shrinkToFit="0" readingOrder="2"/>
    </dxf>
    <dxf>
      <alignment horizontal="right" vertical="center" textRotation="0" wrapText="0" indent="0" justifyLastLine="0" shrinkToFit="0" readingOrder="2"/>
    </dxf>
    <dxf>
      <fill>
        <patternFill patternType="none">
          <fgColor indexed="64"/>
          <bgColor indexed="65"/>
        </patternFill>
      </fill>
      <alignment horizontal="right" vertical="center" textRotation="0" wrapText="0" indent="0" justifyLastLine="0" shrinkToFit="0" readingOrder="2"/>
    </dxf>
    <dxf>
      <alignment horizontal="right" vertical="center" textRotation="0" wrapText="0" indent="0" justifyLastLine="0" shrinkToFit="0" readingOrder="2"/>
    </dxf>
    <dxf>
      <fill>
        <patternFill patternType="none">
          <fgColor indexed="64"/>
          <bgColor indexed="65"/>
        </patternFill>
      </fill>
      <alignment horizontal="right" vertical="center" textRotation="0" wrapText="0" indent="0" justifyLastLine="0" shrinkToFit="0" readingOrder="2"/>
    </dxf>
    <dxf>
      <alignment horizontal="right" vertical="center" textRotation="0" wrapText="0" indent="0" justifyLastLine="0" shrinkToFit="0" readingOrder="2"/>
    </dxf>
    <dxf>
      <fill>
        <patternFill patternType="none">
          <fgColor indexed="64"/>
          <bgColor indexed="65"/>
        </patternFill>
      </fill>
      <alignment horizontal="right" vertical="center" textRotation="0" wrapText="0" indent="0" justifyLastLine="0" shrinkToFit="0" readingOrder="2"/>
    </dxf>
    <dxf>
      <alignment horizontal="right" vertical="center" textRotation="0" wrapText="0" indent="0" justifyLastLine="0" shrinkToFit="0" readingOrder="2"/>
    </dxf>
    <dxf>
      <alignment horizontal="right" vertical="center" textRotation="0" wrapText="0" indent="0" justifyLastLine="0" shrinkToFit="0" readingOrder="2"/>
    </dxf>
    <dxf>
      <alignment horizontal="right" vertical="center" textRotation="0" wrapText="0" indent="0" justifyLastLine="0" shrinkToFit="0" readingOrder="2"/>
    </dxf>
    <dxf>
      <fill>
        <patternFill patternType="none">
          <fgColor indexed="64"/>
          <bgColor indexed="65"/>
        </patternFill>
      </fill>
      <alignment horizontal="right" vertical="center" textRotation="0" wrapText="0" indent="0" justifyLastLine="0" shrinkToFit="0" readingOrder="2"/>
    </dxf>
    <dxf>
      <alignment horizontal="right" vertical="center" textRotation="0" wrapText="0" indent="0" justifyLastLine="0" shrinkToFit="0" readingOrder="2"/>
      <border diagonalUp="0" diagonalDown="0" outline="0">
        <left style="thin">
          <color indexed="64"/>
        </left>
        <right style="thin">
          <color indexed="64"/>
        </right>
        <top style="thin">
          <color indexed="64"/>
        </top>
        <bottom/>
      </border>
    </dxf>
    <dxf>
      <numFmt numFmtId="0" formatCode="General"/>
      <alignment horizontal="right" vertical="center" textRotation="0" wrapText="0" indent="0" justifyLastLine="0" shrinkToFit="0" readingOrder="2"/>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2"/>
    </dxf>
    <dxf>
      <fill>
        <patternFill patternType="none">
          <fgColor indexed="64"/>
          <bgColor indexed="65"/>
        </patternFill>
      </fill>
      <alignment horizontal="right" vertical="center" textRotation="0" wrapText="0" indent="0" justifyLastLine="0" shrinkToFit="0" readingOrder="2"/>
    </dxf>
    <dxf>
      <alignment textRotation="0" wrapText="0" indent="0" justifyLastLine="0" shrinkToFit="0" readingOrder="2"/>
    </dxf>
    <dxf>
      <border outline="0">
        <top style="thin">
          <color indexed="64"/>
        </top>
      </border>
    </dxf>
    <dxf>
      <fill>
        <patternFill patternType="none">
          <fgColor indexed="64"/>
          <bgColor indexed="65"/>
        </patternFill>
      </fill>
      <alignment horizontal="right" vertical="center" textRotation="0" wrapText="0" indent="0" justifyLastLine="0" shrinkToFit="0" readingOrder="2"/>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bottom/>
      </border>
    </dxf>
    <dxf>
      <font>
        <b/>
        <i val="0"/>
        <sz val="12"/>
        <color rgb="FFF2F2F2"/>
      </font>
      <fill>
        <patternFill patternType="solid">
          <fgColor rgb="FFF2F2F2"/>
          <bgColor rgb="FF002060"/>
        </patternFill>
      </fill>
      <border diagonalUp="0" diagonalDown="0">
        <left/>
        <right/>
        <top/>
        <bottom/>
        <vertical/>
        <horizontal/>
      </border>
    </dxf>
    <dxf>
      <font>
        <b/>
        <i val="0"/>
        <sz val="11"/>
        <color rgb="FFF2F2F2"/>
      </font>
      <fill>
        <patternFill patternType="gray0625">
          <fgColor rgb="FFF2F2F2"/>
          <bgColor rgb="FF002060"/>
        </patternFill>
      </fill>
      <border diagonalUp="0" diagonalDown="0">
        <left/>
        <right/>
        <top/>
        <bottom/>
        <vertical/>
        <horizontal/>
      </border>
    </dxf>
    <dxf>
      <font>
        <b val="0"/>
        <i/>
        <sz val="11"/>
        <name val="Calibri"/>
        <family val="2"/>
        <scheme val="minor"/>
      </font>
      <fill>
        <patternFill patternType="gray0625">
          <fgColor rgb="FF192E59"/>
          <bgColor rgb="FF002060"/>
        </patternFill>
      </fill>
      <border diagonalUp="0" diagonalDown="0">
        <left/>
        <right/>
        <top/>
        <bottom/>
        <vertical/>
        <horizontal/>
      </border>
    </dxf>
    <dxf>
      <font>
        <sz val="14"/>
        <color theme="0"/>
      </font>
      <fill>
        <patternFill patternType="gray0625">
          <fgColor theme="1" tint="0.34998626667073579"/>
          <bgColor rgb="FF002060"/>
        </patternFill>
      </fill>
      <border diagonalUp="0" diagonalDown="0">
        <left/>
        <right/>
        <top/>
        <bottom/>
        <vertical/>
        <horizontal/>
      </border>
    </dxf>
    <dxf>
      <font>
        <b val="0"/>
        <i/>
        <u val="none"/>
        <color theme="1"/>
        <name val="Calibri Light"/>
        <family val="2"/>
        <scheme val="major"/>
      </font>
    </dxf>
  </dxfs>
  <tableStyles count="6" defaultTableStyle="TableStyleMedium2" defaultPivotStyle="PivotStyleLight16">
    <tableStyle name="Invisible" pivot="0" table="0" count="0" xr9:uid="{F7A9C88F-B8D2-41BF-B0CD-4B05C5375C38}"/>
    <tableStyle name="Slicer Style 1" pivot="0" table="0" count="1" xr9:uid="{2AF6D110-6A1C-4F8B-BCD1-14CFED6294BA}">
      <tableStyleElement type="wholeTable" dxfId="143"/>
    </tableStyle>
    <tableStyle name="Slicer Style 2" pivot="0" table="0" count="1" xr9:uid="{2B68973E-6289-4020-966F-B1DDC2C452C5}">
      <tableStyleElement type="wholeTable" dxfId="142"/>
    </tableStyle>
    <tableStyle name="Slicer Style 3" pivot="0" table="0" count="1" xr9:uid="{47AECD21-0068-4B57-8661-9ED0EC0484BE}">
      <tableStyleElement type="wholeTable" dxfId="141"/>
    </tableStyle>
    <tableStyle name="Slicer Style 4" pivot="0" table="0" count="1" xr9:uid="{4237E465-D240-4974-9907-B59C647766F1}">
      <tableStyleElement type="wholeTable" dxfId="140"/>
    </tableStyle>
    <tableStyle name="Slicer Style 5" pivot="0" table="0" count="1" xr9:uid="{81725563-811A-4B6E-AC30-ECB93E36A11C}">
      <tableStyleElement type="wholeTable" dxfId="139"/>
    </tableStyle>
  </tableStyles>
  <colors>
    <mruColors>
      <color rgb="FFF2F2F2"/>
      <color rgb="FF7E0000"/>
      <color rgb="FFFF5B5B"/>
      <color rgb="FFFFABAB"/>
      <color rgb="FF192E59"/>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r>
              <a:rPr lang="en-US" sz="1600" b="1">
                <a:solidFill>
                  <a:srgbClr val="F2F2F2"/>
                </a:solidFill>
              </a:rPr>
              <a:t>Company clients</a:t>
            </a:r>
          </a:p>
        </c:rich>
      </c:tx>
      <c:layout>
        <c:manualLayout>
          <c:xMode val="edge"/>
          <c:yMode val="edge"/>
          <c:x val="0.13802001808423306"/>
          <c:y val="2.786906003726326E-2"/>
        </c:manualLayout>
      </c:layout>
      <c:overlay val="0"/>
      <c:spPr>
        <a:solidFill>
          <a:srgbClr val="192E59"/>
        </a:solidFill>
        <a:ln>
          <a:noFill/>
        </a:ln>
        <a:effectLst/>
      </c:spPr>
      <c:txPr>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192E59"/>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5538707332695215"/>
              <c:y val="0.10717372289863764"/>
            </c:manualLayout>
          </c:layout>
          <c:tx>
            <c:rich>
              <a:bodyPr/>
              <a:lstStyle/>
              <a:p>
                <a:fld id="{2F8A1B84-E609-4F59-AE5B-69509D8928C0}" type="CATEGORYNAME">
                  <a:rPr lang="ar-EG" b="1"/>
                  <a:pPr/>
                  <a:t>[CATEGORY NAME]</a:t>
                </a:fld>
                <a:r>
                  <a:rPr lang="ar-EG" b="1" baseline="0"/>
                  <a:t>
</a:t>
                </a:r>
                <a:fld id="{DCBFBEE8-B6BC-41A6-B7F6-48E0C20B0D0B}" type="PERCENTAGE">
                  <a:rPr lang="ar-EG" b="1" baseline="0"/>
                  <a:pPr/>
                  <a:t>[PERCENTAGE]</a:t>
                </a:fld>
                <a:endParaRPr lang="ar-EG"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15795731547460548"/>
              <c:y val="-8.3982556715174711E-2"/>
            </c:manualLayout>
          </c:layout>
          <c:tx>
            <c:rich>
              <a:bodyPr/>
              <a:lstStyle/>
              <a:p>
                <a:fld id="{581469CD-35DD-4D19-9F43-CA454F060971}" type="CATEGORYNAME">
                  <a:rPr lang="ar-EG" b="1"/>
                  <a:pPr/>
                  <a:t>[CATEGORY NAME]</a:t>
                </a:fld>
                <a:r>
                  <a:rPr lang="ar-EG" b="1" baseline="0"/>
                  <a:t>
</a:t>
                </a:r>
                <a:fld id="{9C46ED5C-0B21-4BE3-ADFC-FE51C02D5ADB}" type="PERCENTAGE">
                  <a:rPr lang="ar-EG" b="1" baseline="0"/>
                  <a:pPr/>
                  <a:t>[PERCENTAGE]</a:t>
                </a:fld>
                <a:endParaRPr lang="ar-EG"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pivotFmt>
    </c:pivotFmts>
    <c:plotArea>
      <c:layout>
        <c:manualLayout>
          <c:layoutTarget val="inner"/>
          <c:xMode val="edge"/>
          <c:yMode val="edge"/>
          <c:x val="0.12392216895538162"/>
          <c:y val="0.18660311522972242"/>
          <c:w val="0.73909934602758798"/>
          <c:h val="0.74946128272570611"/>
        </c:manualLayout>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CLEANED.xlsx]pivot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F2F2F2"/>
                </a:solidFill>
              </a:rPr>
              <a:t>On-time Delivery Rate</a:t>
            </a:r>
          </a:p>
        </c:rich>
      </c:tx>
      <c:layout>
        <c:manualLayout>
          <c:xMode val="edge"/>
          <c:yMode val="edge"/>
          <c:x val="0.121681429767833"/>
          <c:y val="0"/>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2820524525412234E-2"/>
              <c:y val="0"/>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519D8580-E7C7-464F-A957-1C12CDD87DE8}"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ECB67D98-E0A9-4295-BB09-F4A8E5E402F6}"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layout>
            <c:manualLayout>
              <c:x val="-0.13512822422567275"/>
              <c:y val="-5.704698740249793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695A0F7E-3C23-4B0C-B797-3028836B2EEB}"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F09D9592-D9C0-443B-A276-8C1D88B11A83}"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dLbl>
          <c:idx val="0"/>
          <c:layout>
            <c:manualLayout>
              <c:x val="-0.15692309910078123"/>
              <c:y val="6.655481863624759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0F1602BD-FF41-4320-B2E6-0C81381437FE}"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D16F65A9-E4DC-4E99-94E0-70A6E83E700F}"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2820524525412234E-2"/>
              <c:y val="0"/>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519D8580-E7C7-464F-A957-1C12CDD87DE8}"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ECB67D98-E0A9-4295-BB09-F4A8E5E402F6}"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solidFill>
          <a:ln w="19050">
            <a:solidFill>
              <a:schemeClr val="lt1"/>
            </a:solidFill>
          </a:ln>
          <a:effectLst/>
        </c:spPr>
        <c:dLbl>
          <c:idx val="0"/>
          <c:layout>
            <c:manualLayout>
              <c:x val="-0.13512822422567275"/>
              <c:y val="-5.704698740249793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695A0F7E-3C23-4B0C-B797-3028836B2EEB}"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F09D9592-D9C0-443B-A276-8C1D88B11A83}"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dLbl>
          <c:idx val="0"/>
          <c:layout>
            <c:manualLayout>
              <c:x val="-0.15692309910078123"/>
              <c:y val="6.655481863624759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0F1602BD-FF41-4320-B2E6-0C81381437FE}"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D16F65A9-E4DC-4E99-94E0-70A6E83E700F}"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8.2820524525412234E-2"/>
              <c:y val="0"/>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519D8580-E7C7-464F-A957-1C12CDD87DE8}"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ECB67D98-E0A9-4295-BB09-F4A8E5E402F6}"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9"/>
        <c:spPr>
          <a:solidFill>
            <a:schemeClr val="accent2"/>
          </a:solidFill>
          <a:ln w="19050">
            <a:solidFill>
              <a:schemeClr val="lt1"/>
            </a:solidFill>
          </a:ln>
          <a:effectLst/>
        </c:spPr>
        <c:dLbl>
          <c:idx val="0"/>
          <c:layout>
            <c:manualLayout>
              <c:x val="-0.13512822422567275"/>
              <c:y val="-5.704698740249793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695A0F7E-3C23-4B0C-B797-3028836B2EEB}"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F09D9592-D9C0-443B-A276-8C1D88B11A83}"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0"/>
        <c:spPr>
          <a:solidFill>
            <a:schemeClr val="accent3"/>
          </a:solidFill>
          <a:ln w="19050">
            <a:solidFill>
              <a:schemeClr val="lt1"/>
            </a:solidFill>
          </a:ln>
          <a:effectLst/>
        </c:spPr>
        <c:dLbl>
          <c:idx val="0"/>
          <c:layout>
            <c:manualLayout>
              <c:x val="-0.15692309910078123"/>
              <c:y val="6.655481863624759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0F1602BD-FF41-4320-B2E6-0C81381437FE}"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D16F65A9-E4DC-4E99-94E0-70A6E83E700F}"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8.2820524525412234E-2"/>
              <c:y val="0"/>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519D8580-E7C7-464F-A957-1C12CDD87DE8}"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ECB67D98-E0A9-4295-BB09-F4A8E5E402F6}"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3"/>
        <c:spPr>
          <a:solidFill>
            <a:schemeClr val="accent2"/>
          </a:solidFill>
          <a:ln w="19050">
            <a:solidFill>
              <a:schemeClr val="lt1"/>
            </a:solidFill>
          </a:ln>
          <a:effectLst/>
        </c:spPr>
        <c:dLbl>
          <c:idx val="0"/>
          <c:layout>
            <c:manualLayout>
              <c:x val="-0.13512822422567275"/>
              <c:y val="-5.704698740249793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695A0F7E-3C23-4B0C-B797-3028836B2EEB}"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F09D9592-D9C0-443B-A276-8C1D88B11A83}"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4"/>
        <c:spPr>
          <a:solidFill>
            <a:schemeClr val="accent3"/>
          </a:solidFill>
          <a:ln w="19050">
            <a:solidFill>
              <a:schemeClr val="lt1"/>
            </a:solidFill>
          </a:ln>
          <a:effectLst/>
        </c:spPr>
        <c:dLbl>
          <c:idx val="0"/>
          <c:layout>
            <c:manualLayout>
              <c:x val="-0.15692309910078123"/>
              <c:y val="6.655481863624759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0F1602BD-FF41-4320-B2E6-0C81381437FE}"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D16F65A9-E4DC-4E99-94E0-70A6E83E700F}"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8.2820524525412234E-2"/>
              <c:y val="0"/>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519D8580-E7C7-464F-A957-1C12CDD87DE8}"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ECB67D98-E0A9-4295-BB09-F4A8E5E402F6}"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7"/>
        <c:spPr>
          <a:solidFill>
            <a:schemeClr val="accent2"/>
          </a:solidFill>
          <a:ln w="19050">
            <a:solidFill>
              <a:schemeClr val="lt1"/>
            </a:solidFill>
          </a:ln>
          <a:effectLst/>
        </c:spPr>
        <c:dLbl>
          <c:idx val="0"/>
          <c:layout>
            <c:manualLayout>
              <c:x val="-0.13512822422567275"/>
              <c:y val="-5.704698740249793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695A0F7E-3C23-4B0C-B797-3028836B2EEB}"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F09D9592-D9C0-443B-A276-8C1D88B11A83}"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8"/>
        <c:spPr>
          <a:solidFill>
            <a:schemeClr val="accent3"/>
          </a:solidFill>
          <a:ln w="19050">
            <a:solidFill>
              <a:schemeClr val="lt1"/>
            </a:solidFill>
          </a:ln>
          <a:effectLst/>
        </c:spPr>
        <c:dLbl>
          <c:idx val="0"/>
          <c:layout>
            <c:manualLayout>
              <c:x val="-0.15692309910078123"/>
              <c:y val="6.655481863624759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0F1602BD-FF41-4320-B2E6-0C81381437FE}"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D16F65A9-E4DC-4E99-94E0-70A6E83E700F}"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8.2820524525412234E-2"/>
              <c:y val="0"/>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519D8580-E7C7-464F-A957-1C12CDD87DE8}"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ECB67D98-E0A9-4295-BB09-F4A8E5E402F6}"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1"/>
        <c:spPr>
          <a:solidFill>
            <a:schemeClr val="accent2"/>
          </a:solidFill>
          <a:ln w="19050">
            <a:solidFill>
              <a:schemeClr val="lt1"/>
            </a:solidFill>
          </a:ln>
          <a:effectLst/>
        </c:spPr>
        <c:dLbl>
          <c:idx val="0"/>
          <c:layout>
            <c:manualLayout>
              <c:x val="-0.13512822422567275"/>
              <c:y val="-5.704698740249793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695A0F7E-3C23-4B0C-B797-3028836B2EEB}"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F09D9592-D9C0-443B-A276-8C1D88B11A83}"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2"/>
        <c:spPr>
          <a:solidFill>
            <a:schemeClr val="accent3"/>
          </a:solidFill>
          <a:ln w="19050">
            <a:solidFill>
              <a:schemeClr val="lt1"/>
            </a:solidFill>
          </a:ln>
          <a:effectLst/>
        </c:spPr>
        <c:dLbl>
          <c:idx val="0"/>
          <c:layout>
            <c:manualLayout>
              <c:x val="-0.15692309910078123"/>
              <c:y val="6.655481863624759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0F1602BD-FF41-4320-B2E6-0C81381437FE}"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D16F65A9-E4DC-4E99-94E0-70A6E83E700F}"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8.2820524525412234E-2"/>
              <c:y val="0"/>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519D8580-E7C7-464F-A957-1C12CDD87DE8}"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ECB67D98-E0A9-4295-BB09-F4A8E5E402F6}"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5"/>
        <c:spPr>
          <a:solidFill>
            <a:schemeClr val="accent2"/>
          </a:solidFill>
          <a:ln w="19050">
            <a:solidFill>
              <a:schemeClr val="lt1"/>
            </a:solidFill>
          </a:ln>
          <a:effectLst/>
        </c:spPr>
        <c:dLbl>
          <c:idx val="0"/>
          <c:layout>
            <c:manualLayout>
              <c:x val="-0.13512822422567275"/>
              <c:y val="-5.704698740249793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695A0F7E-3C23-4B0C-B797-3028836B2EEB}"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F09D9592-D9C0-443B-A276-8C1D88B11A83}"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6"/>
        <c:spPr>
          <a:solidFill>
            <a:schemeClr val="accent3"/>
          </a:solidFill>
          <a:ln w="19050">
            <a:solidFill>
              <a:schemeClr val="lt1"/>
            </a:solidFill>
          </a:ln>
          <a:effectLst/>
        </c:spPr>
        <c:dLbl>
          <c:idx val="0"/>
          <c:layout>
            <c:manualLayout>
              <c:x val="-0.15692309910078123"/>
              <c:y val="6.655481863624759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0F1602BD-FF41-4320-B2E6-0C81381437FE}"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D16F65A9-E4DC-4E99-94E0-70A6E83E700F}"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8.2820524525412234E-2"/>
              <c:y val="0"/>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519D8580-E7C7-464F-A957-1C12CDD87DE8}"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ECB67D98-E0A9-4295-BB09-F4A8E5E402F6}"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9"/>
        <c:spPr>
          <a:solidFill>
            <a:schemeClr val="accent2"/>
          </a:solidFill>
          <a:ln w="19050">
            <a:solidFill>
              <a:schemeClr val="lt1"/>
            </a:solidFill>
          </a:ln>
          <a:effectLst/>
        </c:spPr>
        <c:dLbl>
          <c:idx val="0"/>
          <c:layout>
            <c:manualLayout>
              <c:x val="-0.13512822422567275"/>
              <c:y val="-5.704698740249793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695A0F7E-3C23-4B0C-B797-3028836B2EEB}"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F09D9592-D9C0-443B-A276-8C1D88B11A83}"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0"/>
        <c:spPr>
          <a:solidFill>
            <a:schemeClr val="accent3"/>
          </a:solidFill>
          <a:ln w="19050">
            <a:solidFill>
              <a:schemeClr val="lt1"/>
            </a:solidFill>
          </a:ln>
          <a:effectLst/>
        </c:spPr>
        <c:dLbl>
          <c:idx val="0"/>
          <c:layout>
            <c:manualLayout>
              <c:x val="-0.15692309910078123"/>
              <c:y val="6.655481863624759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0F1602BD-FF41-4320-B2E6-0C81381437FE}"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D16F65A9-E4DC-4E99-94E0-70A6E83E700F}"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dLbl>
          <c:idx val="0"/>
          <c:layout>
            <c:manualLayout>
              <c:x val="8.2820524525412234E-2"/>
              <c:y val="0"/>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519D8580-E7C7-464F-A957-1C12CDD87DE8}"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ECB67D98-E0A9-4295-BB09-F4A8E5E402F6}"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3"/>
        <c:spPr>
          <a:solidFill>
            <a:schemeClr val="accent2"/>
          </a:solidFill>
          <a:ln w="19050">
            <a:solidFill>
              <a:schemeClr val="lt1"/>
            </a:solidFill>
          </a:ln>
          <a:effectLst/>
        </c:spPr>
        <c:dLbl>
          <c:idx val="0"/>
          <c:layout>
            <c:manualLayout>
              <c:x val="-0.13512822422567275"/>
              <c:y val="-5.704698740249793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695A0F7E-3C23-4B0C-B797-3028836B2EEB}"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F09D9592-D9C0-443B-A276-8C1D88B11A83}"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4"/>
        <c:spPr>
          <a:solidFill>
            <a:schemeClr val="accent3"/>
          </a:solidFill>
          <a:ln w="19050">
            <a:solidFill>
              <a:schemeClr val="lt1"/>
            </a:solidFill>
          </a:ln>
          <a:effectLst/>
        </c:spPr>
        <c:dLbl>
          <c:idx val="0"/>
          <c:layout>
            <c:manualLayout>
              <c:x val="-0.15692309910078123"/>
              <c:y val="6.655481863624759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fld id="{0F1602BD-FF41-4320-B2E6-0C81381437FE}" type="CATEGORYNAME">
                  <a:rPr lang="ar-EG" b="1"/>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[CATEGORY NAME]</a:t>
                </a:fld>
                <a:r>
                  <a:rPr lang="ar-EG" b="1" baseline="0"/>
                  <a:t>
</a:t>
                </a:r>
                <a:fld id="{D16F65A9-E4DC-4E99-94E0-70A6E83E700F}" type="PERCENTAGE">
                  <a:rPr lang="ar-EG" b="1" baseline="0"/>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t>[PERCENTAGE]</a:t>
                </a:fld>
                <a:endParaRPr lang="ar-EG" b="1"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TABLE'!$AM$8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23F1-49C0-B502-98D4CAE2C9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23F1-49C0-B502-98D4CAE2C9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23F1-49C0-B502-98D4CAE2C964}"/>
              </c:ext>
            </c:extLst>
          </c:dPt>
          <c:dLbls>
            <c:dLbl>
              <c:idx val="0"/>
              <c:layout>
                <c:manualLayout>
                  <c:x val="8.2820524525412234E-2"/>
                  <c:y val="0"/>
                </c:manualLayout>
              </c:layout>
              <c:tx>
                <c:rich>
                  <a:bodyPr/>
                  <a:lstStyle/>
                  <a:p>
                    <a:fld id="{519D8580-E7C7-464F-A957-1C12CDD87DE8}" type="CATEGORYNAME">
                      <a:rPr lang="ar-EG" b="1"/>
                      <a:pPr/>
                      <a:t>[CATEGORY NAME]</a:t>
                    </a:fld>
                    <a:r>
                      <a:rPr lang="ar-EG" b="1" baseline="0"/>
                      <a:t>
</a:t>
                    </a:r>
                    <a:fld id="{ECB67D98-E0A9-4295-BB09-F4A8E5E402F6}" type="PERCENTAGE">
                      <a:rPr lang="ar-EG" b="1" baseline="0"/>
                      <a:pPr/>
                      <a:t>[PERCENTAGE]</a:t>
                    </a:fld>
                    <a:endParaRPr lang="ar-EG" b="1"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9-23F1-49C0-B502-98D4CAE2C964}"/>
                </c:ext>
              </c:extLst>
            </c:dLbl>
            <c:dLbl>
              <c:idx val="1"/>
              <c:layout>
                <c:manualLayout>
                  <c:x val="-0.13512822422567275"/>
                  <c:y val="-5.7046987402497938E-2"/>
                </c:manualLayout>
              </c:layout>
              <c:tx>
                <c:rich>
                  <a:bodyPr/>
                  <a:lstStyle/>
                  <a:p>
                    <a:fld id="{695A0F7E-3C23-4B0C-B797-3028836B2EEB}" type="CATEGORYNAME">
                      <a:rPr lang="ar-EG" b="1"/>
                      <a:pPr/>
                      <a:t>[CATEGORY NAME]</a:t>
                    </a:fld>
                    <a:r>
                      <a:rPr lang="ar-EG" b="1" baseline="0"/>
                      <a:t>
</a:t>
                    </a:r>
                    <a:fld id="{F09D9592-D9C0-443B-A276-8C1D88B11A83}" type="PERCENTAGE">
                      <a:rPr lang="ar-EG" b="1" baseline="0"/>
                      <a:pPr/>
                      <a:t>[PERCENTAGE]</a:t>
                    </a:fld>
                    <a:endParaRPr lang="ar-EG" b="1"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B-23F1-49C0-B502-98D4CAE2C964}"/>
                </c:ext>
              </c:extLst>
            </c:dLbl>
            <c:dLbl>
              <c:idx val="2"/>
              <c:layout>
                <c:manualLayout>
                  <c:x val="-0.15692309910078123"/>
                  <c:y val="6.6554818636247598E-2"/>
                </c:manualLayout>
              </c:layout>
              <c:tx>
                <c:rich>
                  <a:bodyPr/>
                  <a:lstStyle/>
                  <a:p>
                    <a:fld id="{0F1602BD-FF41-4320-B2E6-0C81381437FE}" type="CATEGORYNAME">
                      <a:rPr lang="ar-EG" b="1"/>
                      <a:pPr/>
                      <a:t>[CATEGORY NAME]</a:t>
                    </a:fld>
                    <a:r>
                      <a:rPr lang="ar-EG" b="1" baseline="0"/>
                      <a:t>
</a:t>
                    </a:r>
                    <a:fld id="{D16F65A9-E4DC-4E99-94E0-70A6E83E700F}" type="PERCENTAGE">
                      <a:rPr lang="ar-EG" b="1" baseline="0"/>
                      <a:pPr/>
                      <a:t>[PERCENTAGE]</a:t>
                    </a:fld>
                    <a:endParaRPr lang="ar-EG" b="1"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D-23F1-49C0-B502-98D4CAE2C9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sx="1000" sy="1000" algn="ctr" rotWithShape="0">
                        <a:srgbClr val="000000">
                          <a:alpha val="43137"/>
                        </a:srgbClr>
                      </a:outerShdw>
                    </a:effectLst>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TABLE'!$AL$9:$AL$12</c:f>
              <c:strCache>
                <c:ptCount val="3"/>
                <c:pt idx="0">
                  <c:v>في الموعد</c:v>
                </c:pt>
                <c:pt idx="1">
                  <c:v>متأخر</c:v>
                </c:pt>
                <c:pt idx="2">
                  <c:v>فراغ قيم</c:v>
                </c:pt>
              </c:strCache>
            </c:strRef>
          </c:cat>
          <c:val>
            <c:numRef>
              <c:f>'pivot TABLE'!$AM$9:$AM$12</c:f>
              <c:numCache>
                <c:formatCode>0.00%</c:formatCode>
                <c:ptCount val="3"/>
                <c:pt idx="0">
                  <c:v>0.35714285714285715</c:v>
                </c:pt>
                <c:pt idx="1">
                  <c:v>0.42857142857142855</c:v>
                </c:pt>
                <c:pt idx="2">
                  <c:v>0.21428571428571427</c:v>
                </c:pt>
              </c:numCache>
            </c:numRef>
          </c:val>
          <c:extLst>
            <c:ext xmlns:c16="http://schemas.microsoft.com/office/drawing/2014/chart" uri="{C3380CC4-5D6E-409C-BE32-E72D297353CC}">
              <c16:uniqueId val="{0000001E-23F1-49C0-B502-98D4CAE2C964}"/>
            </c:ext>
          </c:extLst>
        </c:ser>
        <c:dLbls>
          <c:showLegendKey val="0"/>
          <c:showVal val="1"/>
          <c:showCatName val="0"/>
          <c:showSerName val="0"/>
          <c:showPercent val="0"/>
          <c:showBubbleSize val="0"/>
          <c:showLeaderLines val="1"/>
        </c:dLbls>
        <c:firstSliceAng val="0"/>
      </c:pieChart>
    </c:plotArea>
    <c:plotVisOnly val="1"/>
    <c:dispBlanksAs val="gap"/>
    <c:showDLblsOverMax val="0"/>
    <c:extLst/>
  </c:chart>
  <c:spPr>
    <a:solidFill>
      <a:srgbClr val="192E5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CLEANED.xlsx]pivot TABLE!PivotTable1</c:name>
    <c:fmtId val="4"/>
  </c:pivotSource>
  <c:chart>
    <c:title>
      <c:tx>
        <c:rich>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r>
              <a:rPr lang="en-US" b="1">
                <a:solidFill>
                  <a:srgbClr val="F2F2F2"/>
                </a:solidFill>
              </a:rPr>
              <a:t>Company clients</a:t>
            </a:r>
          </a:p>
        </c:rich>
      </c:tx>
      <c:layout>
        <c:manualLayout>
          <c:xMode val="edge"/>
          <c:yMode val="edge"/>
          <c:x val="0.1875626585716926"/>
          <c:y val="3.84615384615384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9.4444444444444345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6666666666666666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s>
    <c:plotArea>
      <c:layout/>
      <c:doughnutChart>
        <c:varyColors val="1"/>
        <c:ser>
          <c:idx val="0"/>
          <c:order val="0"/>
          <c:tx>
            <c:strRef>
              <c:f>'pivot TABLE'!$BE$8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E0-4703-87BE-30A2495E75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E0-4703-87BE-30A2495E75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E0-4703-87BE-30A2495E7532}"/>
              </c:ext>
            </c:extLst>
          </c:dPt>
          <c:dLbls>
            <c:dLbl>
              <c:idx val="0"/>
              <c:layout>
                <c:manualLayout>
                  <c:x val="9.4444444444444345E-2"/>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8E0-4703-87BE-30A2495E7532}"/>
                </c:ext>
              </c:extLst>
            </c:dLbl>
            <c:dLbl>
              <c:idx val="1"/>
              <c:layout>
                <c:manualLayout>
                  <c:x val="-6.6666666666666666E-2"/>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8E0-4703-87BE-30A2495E753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TABLE'!$BD$9:$BD$11</c:f>
              <c:strCache>
                <c:ptCount val="2"/>
                <c:pt idx="0">
                  <c:v>افراد</c:v>
                </c:pt>
                <c:pt idx="1">
                  <c:v>شركات</c:v>
                </c:pt>
              </c:strCache>
            </c:strRef>
          </c:cat>
          <c:val>
            <c:numRef>
              <c:f>'pivot TABLE'!$BE$9:$BE$11</c:f>
              <c:numCache>
                <c:formatCode>General</c:formatCode>
                <c:ptCount val="2"/>
                <c:pt idx="0">
                  <c:v>91</c:v>
                </c:pt>
                <c:pt idx="1">
                  <c:v>35</c:v>
                </c:pt>
              </c:numCache>
            </c:numRef>
          </c:val>
          <c:extLst>
            <c:ext xmlns:c16="http://schemas.microsoft.com/office/drawing/2014/chart" uri="{C3380CC4-5D6E-409C-BE32-E72D297353CC}">
              <c16:uniqueId val="{00000006-C8E0-4703-87BE-30A2495E753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92E5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CLEANED.xlsx]pivot TABLE!PivotTable13</c:name>
    <c:fmtId val="12"/>
  </c:pivotSource>
  <c:chart>
    <c:title>
      <c:tx>
        <c:rich>
          <a:bodyPr rot="0" spcFirstLastPara="1" vertOverflow="ellipsis" vert="horz" wrap="square" anchor="ctr" anchorCtr="1"/>
          <a:lstStyle/>
          <a:p>
            <a:pPr>
              <a:defRPr sz="1400" b="0" i="0" u="none" strike="noStrike" kern="1200" spc="0" baseline="0">
                <a:ln>
                  <a:noFill/>
                </a:ln>
                <a:solidFill>
                  <a:srgbClr val="F2F2F2"/>
                </a:solidFill>
                <a:latin typeface="+mn-lt"/>
                <a:ea typeface="+mn-ea"/>
                <a:cs typeface="+mn-cs"/>
              </a:defRPr>
            </a:pPr>
            <a:r>
              <a:rPr lang="en-US" b="1"/>
              <a:t>Delivery</a:t>
            </a:r>
          </a:p>
          <a:p>
            <a:pPr>
              <a:defRPr/>
            </a:pPr>
            <a:r>
              <a:rPr lang="en-US" b="1"/>
              <a:t> Status</a:t>
            </a:r>
          </a:p>
        </c:rich>
      </c:tx>
      <c:layout>
        <c:manualLayout>
          <c:xMode val="edge"/>
          <c:yMode val="edge"/>
          <c:x val="4.3097917858584141E-2"/>
          <c:y val="0.36384199191476713"/>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rgbClr val="F2F2F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2F2F2"/>
            </a:solidFill>
            <a:ln>
              <a:noFill/>
            </a:ln>
            <a:effectLst/>
          </c:spPr>
          <c:txPr>
            <a:bodyPr rot="0" spcFirstLastPara="1" vertOverflow="ellipsis" vert="horz" wrap="square" anchor="ctr" anchorCtr="1"/>
            <a:lstStyle/>
            <a:p>
              <a:pPr>
                <a:defRPr sz="900" b="0" i="0" u="none" strike="noStrike" kern="1200" baseline="0">
                  <a:ln>
                    <a:noFill/>
                  </a:ln>
                  <a:solidFill>
                    <a:srgbClr val="192E59"/>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3105343688099183E-2"/>
              <c:y val="-0.26288583322763609"/>
            </c:manualLayout>
          </c:layout>
          <c:spPr>
            <a:solidFill>
              <a:srgbClr val="F2F2F2"/>
            </a:solidFill>
            <a:ln>
              <a:noFill/>
            </a:ln>
            <a:effectLst/>
          </c:spPr>
          <c:txPr>
            <a:bodyPr rot="0" spcFirstLastPara="1" vertOverflow="ellipsis" vert="horz" wrap="square" anchor="ctr" anchorCtr="1"/>
            <a:lstStyle/>
            <a:p>
              <a:pPr>
                <a:defRPr sz="900" b="0" i="0" u="none" strike="noStrike" kern="1200" baseline="0">
                  <a:ln>
                    <a:noFill/>
                  </a:ln>
                  <a:solidFill>
                    <a:srgbClr val="192E59"/>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2537622745749622E-2"/>
              <c:y val="0.10786796281867764"/>
            </c:manualLayout>
          </c:layout>
          <c:spPr>
            <a:solidFill>
              <a:srgbClr val="F2F2F2"/>
            </a:solidFill>
            <a:ln>
              <a:noFill/>
            </a:ln>
            <a:effectLst/>
          </c:spPr>
          <c:txPr>
            <a:bodyPr rot="0" spcFirstLastPara="1" vertOverflow="ellipsis" vert="horz" wrap="square" anchor="ctr" anchorCtr="1"/>
            <a:lstStyle/>
            <a:p>
              <a:pPr>
                <a:defRPr sz="900" b="0" i="0" u="none" strike="noStrike" kern="1200" baseline="0">
                  <a:ln>
                    <a:noFill/>
                  </a:ln>
                  <a:solidFill>
                    <a:srgbClr val="192E59"/>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52984525478656319"/>
          <c:y val="0.22681496062992121"/>
          <c:w val="0.46641666666666665"/>
          <c:h val="0.77736111111111106"/>
        </c:manualLayout>
      </c:layout>
      <c:pieChart>
        <c:varyColors val="1"/>
        <c:ser>
          <c:idx val="0"/>
          <c:order val="0"/>
          <c:tx>
            <c:strRef>
              <c:f>'pivot TABLE'!$AS$8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DA-4C94-821E-8E629E7FA3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DA-4C94-821E-8E629E7FA3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DA-4C94-821E-8E629E7FA3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DA-4C94-821E-8E629E7FA399}"/>
              </c:ext>
            </c:extLst>
          </c:dPt>
          <c:dLbls>
            <c:dLbl>
              <c:idx val="0"/>
              <c:layout>
                <c:manualLayout>
                  <c:x val="-6.3105343688099183E-2"/>
                  <c:y val="-0.2628858332276360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7DA-4C94-821E-8E629E7FA399}"/>
                </c:ext>
              </c:extLst>
            </c:dLbl>
            <c:dLbl>
              <c:idx val="1"/>
              <c:layout>
                <c:manualLayout>
                  <c:x val="2.2537622745749622E-2"/>
                  <c:y val="0.1078679628186776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7DA-4C94-821E-8E629E7FA399}"/>
                </c:ext>
              </c:extLst>
            </c:dLbl>
            <c:spPr>
              <a:solidFill>
                <a:srgbClr val="F2F2F2"/>
              </a:solidFill>
              <a:ln>
                <a:noFill/>
              </a:ln>
              <a:effectLst/>
            </c:spPr>
            <c:txPr>
              <a:bodyPr rot="0" spcFirstLastPara="1" vertOverflow="ellipsis" vert="horz" wrap="square" anchor="ctr" anchorCtr="1"/>
              <a:lstStyle/>
              <a:p>
                <a:pPr>
                  <a:defRPr sz="900" b="0" i="0" u="none" strike="noStrike" kern="1200" baseline="0">
                    <a:ln>
                      <a:noFill/>
                    </a:ln>
                    <a:solidFill>
                      <a:srgbClr val="192E59"/>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TABLE'!$AR$9:$AR$12</c:f>
              <c:strCache>
                <c:ptCount val="3"/>
                <c:pt idx="0">
                  <c:v>تم التسليم</c:v>
                </c:pt>
                <c:pt idx="1">
                  <c:v>مرفوض </c:v>
                </c:pt>
                <c:pt idx="2">
                  <c:v>مرتجع</c:v>
                </c:pt>
              </c:strCache>
            </c:strRef>
          </c:cat>
          <c:val>
            <c:numRef>
              <c:f>'pivot TABLE'!$AS$9:$AS$12</c:f>
              <c:numCache>
                <c:formatCode>0.00%</c:formatCode>
                <c:ptCount val="3"/>
                <c:pt idx="0">
                  <c:v>0.80952380952380953</c:v>
                </c:pt>
                <c:pt idx="1">
                  <c:v>0.18253968253968253</c:v>
                </c:pt>
                <c:pt idx="2">
                  <c:v>7.9365079365079361E-3</c:v>
                </c:pt>
              </c:numCache>
            </c:numRef>
          </c:val>
          <c:extLst>
            <c:ext xmlns:c16="http://schemas.microsoft.com/office/drawing/2014/chart" uri="{C3380CC4-5D6E-409C-BE32-E72D297353CC}">
              <c16:uniqueId val="{00000008-87DA-4C94-821E-8E629E7FA399}"/>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92E59"/>
    </a:solidFill>
    <a:ln w="9525" cap="flat" cmpd="sng" algn="ctr">
      <a:noFill/>
      <a:round/>
    </a:ln>
    <a:effectLst/>
  </c:spPr>
  <c:txPr>
    <a:bodyPr/>
    <a:lstStyle/>
    <a:p>
      <a:pPr>
        <a:defRPr>
          <a:ln>
            <a:noFill/>
          </a:ln>
          <a:solidFill>
            <a:srgbClr val="F2F2F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CLEANED.xlsx]pivot TABLE!PivotTable14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2F2F2"/>
                </a:solidFill>
              </a:rPr>
              <a:t>Orders by Area</a:t>
            </a:r>
          </a:p>
        </c:rich>
      </c:tx>
      <c:layout>
        <c:manualLayout>
          <c:xMode val="edge"/>
          <c:yMode val="edge"/>
          <c:x val="0.2125415549197290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673123709774214"/>
          <c:y val="0.13255944321448071"/>
          <c:w val="0.55647609300333434"/>
          <c:h val="0.69368389384128037"/>
        </c:manualLayout>
      </c:layout>
      <c:barChart>
        <c:barDir val="bar"/>
        <c:grouping val="clustered"/>
        <c:varyColors val="0"/>
        <c:ser>
          <c:idx val="0"/>
          <c:order val="0"/>
          <c:tx>
            <c:strRef>
              <c:f>'pivot TABLE'!$AY$8</c:f>
              <c:strCache>
                <c:ptCount val="1"/>
                <c:pt idx="0">
                  <c:v>Total</c:v>
                </c:pt>
              </c:strCache>
            </c:strRef>
          </c:tx>
          <c:spPr>
            <a:solidFill>
              <a:schemeClr val="accent1"/>
            </a:solidFill>
            <a:ln>
              <a:noFill/>
            </a:ln>
            <a:effectLst/>
          </c:spPr>
          <c:invertIfNegative val="0"/>
          <c:cat>
            <c:strRef>
              <c:f>'pivot TABLE'!$AX$9:$AX$19</c:f>
              <c:strCache>
                <c:ptCount val="10"/>
                <c:pt idx="0">
                  <c:v>القاهرة</c:v>
                </c:pt>
                <c:pt idx="1">
                  <c:v>الجيزة</c:v>
                </c:pt>
                <c:pt idx="2">
                  <c:v>القليوبية</c:v>
                </c:pt>
                <c:pt idx="3">
                  <c:v>(خلية فارغة)</c:v>
                </c:pt>
                <c:pt idx="4">
                  <c:v>السويس</c:v>
                </c:pt>
                <c:pt idx="5">
                  <c:v>الإسكندرية</c:v>
                </c:pt>
                <c:pt idx="6">
                  <c:v>(حسب موقع المخزن)</c:v>
                </c:pt>
                <c:pt idx="7">
                  <c:v>البحر الأحمر</c:v>
                </c:pt>
                <c:pt idx="8">
                  <c:v>مطروح</c:v>
                </c:pt>
                <c:pt idx="9">
                  <c:v>أسيوط</c:v>
                </c:pt>
              </c:strCache>
            </c:strRef>
          </c:cat>
          <c:val>
            <c:numRef>
              <c:f>'pivot TABLE'!$AY$9:$AY$19</c:f>
              <c:numCache>
                <c:formatCode>General</c:formatCode>
                <c:ptCount val="10"/>
                <c:pt idx="0">
                  <c:v>59</c:v>
                </c:pt>
                <c:pt idx="1">
                  <c:v>25</c:v>
                </c:pt>
                <c:pt idx="2">
                  <c:v>11</c:v>
                </c:pt>
                <c:pt idx="3">
                  <c:v>8</c:v>
                </c:pt>
                <c:pt idx="4">
                  <c:v>8</c:v>
                </c:pt>
                <c:pt idx="5">
                  <c:v>5</c:v>
                </c:pt>
                <c:pt idx="6">
                  <c:v>4</c:v>
                </c:pt>
                <c:pt idx="7">
                  <c:v>3</c:v>
                </c:pt>
                <c:pt idx="8">
                  <c:v>2</c:v>
                </c:pt>
                <c:pt idx="9">
                  <c:v>1</c:v>
                </c:pt>
              </c:numCache>
            </c:numRef>
          </c:val>
          <c:extLst>
            <c:ext xmlns:c16="http://schemas.microsoft.com/office/drawing/2014/chart" uri="{C3380CC4-5D6E-409C-BE32-E72D297353CC}">
              <c16:uniqueId val="{00000000-4BD9-43B4-98DC-F51F3B9A10DE}"/>
            </c:ext>
          </c:extLst>
        </c:ser>
        <c:dLbls>
          <c:showLegendKey val="0"/>
          <c:showVal val="0"/>
          <c:showCatName val="0"/>
          <c:showSerName val="0"/>
          <c:showPercent val="0"/>
          <c:showBubbleSize val="0"/>
        </c:dLbls>
        <c:gapWidth val="182"/>
        <c:axId val="86374047"/>
        <c:axId val="86375007"/>
      </c:barChart>
      <c:catAx>
        <c:axId val="863740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crossAx val="86375007"/>
        <c:crosses val="autoZero"/>
        <c:auto val="1"/>
        <c:lblAlgn val="ctr"/>
        <c:lblOffset val="100"/>
        <c:noMultiLvlLbl val="0"/>
      </c:catAx>
      <c:valAx>
        <c:axId val="86375007"/>
        <c:scaling>
          <c:orientation val="minMax"/>
          <c:max val="70"/>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crossAx val="8637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92E5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CLEANED.xlsx]pivot TABLE!PivotTable11</c:name>
    <c:fmtId val="6"/>
  </c:pivotSource>
  <c:chart>
    <c:title>
      <c:tx>
        <c:rich>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r>
              <a:rPr lang="en-US" b="1">
                <a:solidFill>
                  <a:srgbClr val="F2F2F2"/>
                </a:solidFill>
              </a:rPr>
              <a:t>Best Color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124550282374101E-2"/>
          <c:y val="0.23189814814814816"/>
          <c:w val="0.91296888938795628"/>
          <c:h val="0.66366542723826183"/>
        </c:manualLayout>
      </c:layout>
      <c:barChart>
        <c:barDir val="col"/>
        <c:grouping val="clustered"/>
        <c:varyColors val="0"/>
        <c:ser>
          <c:idx val="0"/>
          <c:order val="0"/>
          <c:tx>
            <c:strRef>
              <c:f>'pivot TABLE'!$AG$8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TABLE'!$AF$9:$AF$14</c:f>
              <c:strCache>
                <c:ptCount val="5"/>
                <c:pt idx="0">
                  <c:v>لم يُحدد</c:v>
                </c:pt>
                <c:pt idx="1">
                  <c:v>أبيض</c:v>
                </c:pt>
                <c:pt idx="2">
                  <c:v>أسود</c:v>
                </c:pt>
                <c:pt idx="3">
                  <c:v>رمادي</c:v>
                </c:pt>
                <c:pt idx="4">
                  <c:v>أزرق</c:v>
                </c:pt>
              </c:strCache>
            </c:strRef>
          </c:cat>
          <c:val>
            <c:numRef>
              <c:f>'pivot TABLE'!$AG$9:$AG$14</c:f>
              <c:numCache>
                <c:formatCode>General</c:formatCode>
                <c:ptCount val="5"/>
                <c:pt idx="0">
                  <c:v>80</c:v>
                </c:pt>
                <c:pt idx="1">
                  <c:v>21</c:v>
                </c:pt>
                <c:pt idx="2">
                  <c:v>16</c:v>
                </c:pt>
                <c:pt idx="3">
                  <c:v>7</c:v>
                </c:pt>
                <c:pt idx="4">
                  <c:v>2</c:v>
                </c:pt>
              </c:numCache>
            </c:numRef>
          </c:val>
          <c:extLst>
            <c:ext xmlns:c16="http://schemas.microsoft.com/office/drawing/2014/chart" uri="{C3380CC4-5D6E-409C-BE32-E72D297353CC}">
              <c16:uniqueId val="{00000000-0849-4FD0-A345-E060616CC49E}"/>
            </c:ext>
          </c:extLst>
        </c:ser>
        <c:dLbls>
          <c:dLblPos val="outEnd"/>
          <c:showLegendKey val="0"/>
          <c:showVal val="1"/>
          <c:showCatName val="0"/>
          <c:showSerName val="0"/>
          <c:showPercent val="0"/>
          <c:showBubbleSize val="0"/>
        </c:dLbls>
        <c:gapWidth val="219"/>
        <c:overlap val="-27"/>
        <c:axId val="88389023"/>
        <c:axId val="88390463"/>
      </c:barChart>
      <c:catAx>
        <c:axId val="88389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crossAx val="88390463"/>
        <c:crosses val="autoZero"/>
        <c:auto val="1"/>
        <c:lblAlgn val="ctr"/>
        <c:lblOffset val="100"/>
        <c:noMultiLvlLbl val="0"/>
      </c:catAx>
      <c:valAx>
        <c:axId val="88390463"/>
        <c:scaling>
          <c:orientation val="minMax"/>
        </c:scaling>
        <c:delete val="1"/>
        <c:axPos val="l"/>
        <c:numFmt formatCode="General" sourceLinked="1"/>
        <c:majorTickMark val="out"/>
        <c:minorTickMark val="none"/>
        <c:tickLblPos val="nextTo"/>
        <c:crossAx val="8838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CLEANED.xlsx]pivot TABLE!PivotTable10</c:name>
    <c:fmtId val="45"/>
  </c:pivotSource>
  <c:chart>
    <c:title>
      <c:tx>
        <c:rich>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r>
              <a:rPr lang="en-US" b="1">
                <a:solidFill>
                  <a:srgbClr val="F2F2F2"/>
                </a:solidFill>
              </a:rPr>
              <a:t>Best  Seller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TABLE'!$AA$8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TABLE'!$Z$9:$Z$17</c:f>
              <c:strCache>
                <c:ptCount val="8"/>
                <c:pt idx="0">
                  <c:v>موديل عام</c:v>
                </c:pt>
                <c:pt idx="1">
                  <c:v>كيفينج</c:v>
                </c:pt>
                <c:pt idx="2">
                  <c:v>نوفال</c:v>
                </c:pt>
                <c:pt idx="3">
                  <c:v>إسباني</c:v>
                </c:pt>
                <c:pt idx="4">
                  <c:v>كينج</c:v>
                </c:pt>
                <c:pt idx="5">
                  <c:v>فورجينا</c:v>
                </c:pt>
                <c:pt idx="6">
                  <c:v>ارفيل</c:v>
                </c:pt>
                <c:pt idx="7">
                  <c:v>كوين</c:v>
                </c:pt>
              </c:strCache>
            </c:strRef>
          </c:cat>
          <c:val>
            <c:numRef>
              <c:f>'pivot TABLE'!$AA$9:$AA$17</c:f>
              <c:numCache>
                <c:formatCode>General</c:formatCode>
                <c:ptCount val="8"/>
                <c:pt idx="0">
                  <c:v>96</c:v>
                </c:pt>
                <c:pt idx="1">
                  <c:v>9</c:v>
                </c:pt>
                <c:pt idx="2">
                  <c:v>5</c:v>
                </c:pt>
                <c:pt idx="3">
                  <c:v>5</c:v>
                </c:pt>
                <c:pt idx="4">
                  <c:v>4</c:v>
                </c:pt>
                <c:pt idx="5">
                  <c:v>4</c:v>
                </c:pt>
                <c:pt idx="6">
                  <c:v>2</c:v>
                </c:pt>
                <c:pt idx="7">
                  <c:v>1</c:v>
                </c:pt>
              </c:numCache>
            </c:numRef>
          </c:val>
          <c:extLst>
            <c:ext xmlns:c16="http://schemas.microsoft.com/office/drawing/2014/chart" uri="{C3380CC4-5D6E-409C-BE32-E72D297353CC}">
              <c16:uniqueId val="{00000000-D021-45F8-ABF9-5B0EF7EBF0C5}"/>
            </c:ext>
          </c:extLst>
        </c:ser>
        <c:dLbls>
          <c:dLblPos val="outEnd"/>
          <c:showLegendKey val="0"/>
          <c:showVal val="1"/>
          <c:showCatName val="0"/>
          <c:showSerName val="0"/>
          <c:showPercent val="0"/>
          <c:showBubbleSize val="0"/>
        </c:dLbls>
        <c:gapWidth val="219"/>
        <c:overlap val="-27"/>
        <c:axId val="136545023"/>
        <c:axId val="136543583"/>
      </c:barChart>
      <c:catAx>
        <c:axId val="13654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crossAx val="136543583"/>
        <c:crosses val="autoZero"/>
        <c:auto val="1"/>
        <c:lblAlgn val="ctr"/>
        <c:lblOffset val="100"/>
        <c:noMultiLvlLbl val="0"/>
      </c:catAx>
      <c:valAx>
        <c:axId val="136543583"/>
        <c:scaling>
          <c:orientation val="minMax"/>
        </c:scaling>
        <c:delete val="1"/>
        <c:axPos val="l"/>
        <c:numFmt formatCode="General" sourceLinked="1"/>
        <c:majorTickMark val="none"/>
        <c:minorTickMark val="none"/>
        <c:tickLblPos val="nextTo"/>
        <c:crossAx val="13654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CLEANED.xlsx]pivot TABLE!PivotTable9</c:name>
    <c:fmtId val="7"/>
  </c:pivotSource>
  <c:chart>
    <c:title>
      <c:tx>
        <c:rich>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r>
              <a:rPr lang="en-US" b="1">
                <a:solidFill>
                  <a:srgbClr val="F2F2F2"/>
                </a:solidFill>
              </a:rPr>
              <a:t>Sales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TABLE'!$U$8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TABLE'!$T$9:$T$17</c:f>
              <c:strCache>
                <c:ptCount val="8"/>
                <c:pt idx="0">
                  <c:v>هومزمارت</c:v>
                </c:pt>
                <c:pt idx="1">
                  <c:v>شيك هومز</c:v>
                </c:pt>
                <c:pt idx="2">
                  <c:v>اوسكار ريتن </c:v>
                </c:pt>
                <c:pt idx="3">
                  <c:v>تاكى</c:v>
                </c:pt>
                <c:pt idx="4">
                  <c:v>السويس</c:v>
                </c:pt>
                <c:pt idx="5">
                  <c:v>فيسبوك</c:v>
                </c:pt>
                <c:pt idx="6">
                  <c:v>منزلى</c:v>
                </c:pt>
                <c:pt idx="7">
                  <c:v>كيمت </c:v>
                </c:pt>
              </c:strCache>
            </c:strRef>
          </c:cat>
          <c:val>
            <c:numRef>
              <c:f>'pivot TABLE'!$U$9:$U$17</c:f>
              <c:numCache>
                <c:formatCode>General</c:formatCode>
                <c:ptCount val="8"/>
                <c:pt idx="0">
                  <c:v>78</c:v>
                </c:pt>
                <c:pt idx="1">
                  <c:v>16</c:v>
                </c:pt>
                <c:pt idx="2">
                  <c:v>13</c:v>
                </c:pt>
                <c:pt idx="3">
                  <c:v>9</c:v>
                </c:pt>
                <c:pt idx="4">
                  <c:v>4</c:v>
                </c:pt>
                <c:pt idx="5">
                  <c:v>3</c:v>
                </c:pt>
                <c:pt idx="6">
                  <c:v>2</c:v>
                </c:pt>
                <c:pt idx="7">
                  <c:v>1</c:v>
                </c:pt>
              </c:numCache>
            </c:numRef>
          </c:val>
          <c:extLst>
            <c:ext xmlns:c16="http://schemas.microsoft.com/office/drawing/2014/chart" uri="{C3380CC4-5D6E-409C-BE32-E72D297353CC}">
              <c16:uniqueId val="{00000000-960E-46BE-94DA-D08FE58DC3EB}"/>
            </c:ext>
          </c:extLst>
        </c:ser>
        <c:dLbls>
          <c:dLblPos val="outEnd"/>
          <c:showLegendKey val="0"/>
          <c:showVal val="1"/>
          <c:showCatName val="0"/>
          <c:showSerName val="0"/>
          <c:showPercent val="0"/>
          <c:showBubbleSize val="0"/>
        </c:dLbls>
        <c:gapWidth val="182"/>
        <c:axId val="88387103"/>
        <c:axId val="88384703"/>
      </c:barChart>
      <c:catAx>
        <c:axId val="8838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2F2F2"/>
                </a:solidFill>
                <a:latin typeface="+mn-lt"/>
                <a:ea typeface="+mn-ea"/>
                <a:cs typeface="+mn-cs"/>
              </a:defRPr>
            </a:pPr>
            <a:endParaRPr lang="en-US"/>
          </a:p>
        </c:txPr>
        <c:crossAx val="88384703"/>
        <c:crosses val="autoZero"/>
        <c:auto val="1"/>
        <c:lblAlgn val="ctr"/>
        <c:lblOffset val="100"/>
        <c:noMultiLvlLbl val="0"/>
      </c:catAx>
      <c:valAx>
        <c:axId val="88384703"/>
        <c:scaling>
          <c:orientation val="minMax"/>
        </c:scaling>
        <c:delete val="1"/>
        <c:axPos val="b"/>
        <c:numFmt formatCode="General" sourceLinked="1"/>
        <c:majorTickMark val="none"/>
        <c:minorTickMark val="none"/>
        <c:tickLblPos val="nextTo"/>
        <c:crossAx val="8838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92E5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hyperlink" Target="#'&#1575;&#1604;&#1583;&#1575;&#1578;&#1575; &#1575;&#1604;&#1606;&#1592;&#1610;&#1601;&#1577;'!A1"/></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83819</xdr:rowOff>
    </xdr:from>
    <xdr:to>
      <xdr:col>2</xdr:col>
      <xdr:colOff>452438</xdr:colOff>
      <xdr:row>25</xdr:row>
      <xdr:rowOff>182561</xdr:rowOff>
    </xdr:to>
    <xdr:sp macro="" textlink="">
      <xdr:nvSpPr>
        <xdr:cNvPr id="2" name="Rectangle: Rounded Corners 1">
          <a:extLst>
            <a:ext uri="{FF2B5EF4-FFF2-40B4-BE49-F238E27FC236}">
              <a16:creationId xmlns:a16="http://schemas.microsoft.com/office/drawing/2014/main" id="{4C9447A6-B3C1-6B18-0AED-525AD4A6872B}"/>
            </a:ext>
          </a:extLst>
        </xdr:cNvPr>
        <xdr:cNvSpPr/>
      </xdr:nvSpPr>
      <xdr:spPr>
        <a:xfrm>
          <a:off x="68580" y="83819"/>
          <a:ext cx="1606233" cy="4662805"/>
        </a:xfrm>
        <a:prstGeom prst="roundRect">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523874</xdr:colOff>
      <xdr:row>0</xdr:row>
      <xdr:rowOff>83820</xdr:rowOff>
    </xdr:from>
    <xdr:to>
      <xdr:col>23</xdr:col>
      <xdr:colOff>45719</xdr:colOff>
      <xdr:row>3</xdr:row>
      <xdr:rowOff>3810</xdr:rowOff>
    </xdr:to>
    <xdr:sp macro="" textlink="">
      <xdr:nvSpPr>
        <xdr:cNvPr id="3" name="Rectangle: Rounded Corners 2">
          <a:extLst>
            <a:ext uri="{FF2B5EF4-FFF2-40B4-BE49-F238E27FC236}">
              <a16:creationId xmlns:a16="http://schemas.microsoft.com/office/drawing/2014/main" id="{E8E36D4F-1C17-4577-AB09-824225A854D9}"/>
            </a:ext>
          </a:extLst>
        </xdr:cNvPr>
        <xdr:cNvSpPr/>
      </xdr:nvSpPr>
      <xdr:spPr>
        <a:xfrm rot="5400000">
          <a:off x="7675861" y="-5848967"/>
          <a:ext cx="457872" cy="12323445"/>
        </a:xfrm>
        <a:prstGeom prst="roundRect">
          <a:avLst/>
        </a:prstGeom>
        <a:solidFill>
          <a:srgbClr val="192E59"/>
        </a:solidFill>
        <a:ln>
          <a:solidFill>
            <a:srgbClr val="192E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566738</xdr:colOff>
      <xdr:row>3</xdr:row>
      <xdr:rowOff>64135</xdr:rowOff>
    </xdr:from>
    <xdr:to>
      <xdr:col>6</xdr:col>
      <xdr:colOff>180341</xdr:colOff>
      <xdr:row>10</xdr:row>
      <xdr:rowOff>26035</xdr:rowOff>
    </xdr:to>
    <xdr:sp macro="" textlink="">
      <xdr:nvSpPr>
        <xdr:cNvPr id="4" name="Rectangle: Rounded Corners 3">
          <a:extLst>
            <a:ext uri="{FF2B5EF4-FFF2-40B4-BE49-F238E27FC236}">
              <a16:creationId xmlns:a16="http://schemas.microsoft.com/office/drawing/2014/main" id="{D493FA39-CF1A-4652-952B-BE3564CB89E7}"/>
            </a:ext>
          </a:extLst>
        </xdr:cNvPr>
        <xdr:cNvSpPr/>
      </xdr:nvSpPr>
      <xdr:spPr>
        <a:xfrm rot="5400000">
          <a:off x="2203460" y="184495"/>
          <a:ext cx="1216959" cy="2052003"/>
        </a:xfrm>
        <a:prstGeom prst="roundRect">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332423</xdr:colOff>
      <xdr:row>3</xdr:row>
      <xdr:rowOff>71755</xdr:rowOff>
    </xdr:from>
    <xdr:to>
      <xdr:col>9</xdr:col>
      <xdr:colOff>557213</xdr:colOff>
      <xdr:row>10</xdr:row>
      <xdr:rowOff>33655</xdr:rowOff>
    </xdr:to>
    <xdr:sp macro="" textlink="">
      <xdr:nvSpPr>
        <xdr:cNvPr id="5" name="Rectangle: Rounded Corners 4">
          <a:extLst>
            <a:ext uri="{FF2B5EF4-FFF2-40B4-BE49-F238E27FC236}">
              <a16:creationId xmlns:a16="http://schemas.microsoft.com/office/drawing/2014/main" id="{6B7563F1-AB18-4D6A-BCDF-B85C58F86687}"/>
            </a:ext>
          </a:extLst>
        </xdr:cNvPr>
        <xdr:cNvSpPr/>
      </xdr:nvSpPr>
      <xdr:spPr>
        <a:xfrm rot="5400000">
          <a:off x="4408806" y="210185"/>
          <a:ext cx="1239837" cy="2058353"/>
        </a:xfrm>
        <a:prstGeom prst="roundRect">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122238</xdr:colOff>
      <xdr:row>3</xdr:row>
      <xdr:rowOff>86677</xdr:rowOff>
    </xdr:from>
    <xdr:to>
      <xdr:col>13</xdr:col>
      <xdr:colOff>348615</xdr:colOff>
      <xdr:row>10</xdr:row>
      <xdr:rowOff>48577</xdr:rowOff>
    </xdr:to>
    <xdr:sp macro="" textlink="">
      <xdr:nvSpPr>
        <xdr:cNvPr id="6" name="Rectangle: Rounded Corners 5">
          <a:extLst>
            <a:ext uri="{FF2B5EF4-FFF2-40B4-BE49-F238E27FC236}">
              <a16:creationId xmlns:a16="http://schemas.microsoft.com/office/drawing/2014/main" id="{5B5810BA-63CF-4D05-966D-B321712B9C99}"/>
            </a:ext>
          </a:extLst>
        </xdr:cNvPr>
        <xdr:cNvSpPr/>
      </xdr:nvSpPr>
      <xdr:spPr>
        <a:xfrm rot="5400000">
          <a:off x="6637347" y="205450"/>
          <a:ext cx="1216959" cy="2055177"/>
        </a:xfrm>
        <a:prstGeom prst="roundRect">
          <a:avLst/>
        </a:prstGeom>
        <a:solidFill>
          <a:srgbClr val="192E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534353</xdr:colOff>
      <xdr:row>10</xdr:row>
      <xdr:rowOff>121291</xdr:rowOff>
    </xdr:from>
    <xdr:to>
      <xdr:col>6</xdr:col>
      <xdr:colOff>452441</xdr:colOff>
      <xdr:row>25</xdr:row>
      <xdr:rowOff>80968</xdr:rowOff>
    </xdr:to>
    <xdr:sp macro="" textlink="">
      <xdr:nvSpPr>
        <xdr:cNvPr id="7" name="Rectangle: Rounded Corners 6">
          <a:extLst>
            <a:ext uri="{FF2B5EF4-FFF2-40B4-BE49-F238E27FC236}">
              <a16:creationId xmlns:a16="http://schemas.microsoft.com/office/drawing/2014/main" id="{9F99F988-F21E-40D4-A1BE-A87E775A0896}"/>
            </a:ext>
          </a:extLst>
        </xdr:cNvPr>
        <xdr:cNvSpPr/>
      </xdr:nvSpPr>
      <xdr:spPr>
        <a:xfrm rot="5400000">
          <a:off x="1589089" y="2114555"/>
          <a:ext cx="2698115" cy="2362838"/>
        </a:xfrm>
        <a:prstGeom prst="roundRect">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218443</xdr:colOff>
      <xdr:row>10</xdr:row>
      <xdr:rowOff>121291</xdr:rowOff>
    </xdr:from>
    <xdr:to>
      <xdr:col>19</xdr:col>
      <xdr:colOff>136531</xdr:colOff>
      <xdr:row>25</xdr:row>
      <xdr:rowOff>80968</xdr:rowOff>
    </xdr:to>
    <xdr:sp macro="" textlink="">
      <xdr:nvSpPr>
        <xdr:cNvPr id="13" name="Rectangle: Rounded Corners 12">
          <a:extLst>
            <a:ext uri="{FF2B5EF4-FFF2-40B4-BE49-F238E27FC236}">
              <a16:creationId xmlns:a16="http://schemas.microsoft.com/office/drawing/2014/main" id="{8B00B8CC-810E-4B81-AD4B-28699B91481A}"/>
            </a:ext>
          </a:extLst>
        </xdr:cNvPr>
        <xdr:cNvSpPr/>
      </xdr:nvSpPr>
      <xdr:spPr>
        <a:xfrm rot="5400000">
          <a:off x="9218617" y="2114555"/>
          <a:ext cx="2698115" cy="2362838"/>
        </a:xfrm>
        <a:prstGeom prst="roundRect">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120017</xdr:colOff>
      <xdr:row>10</xdr:row>
      <xdr:rowOff>121291</xdr:rowOff>
    </xdr:from>
    <xdr:to>
      <xdr:col>15</xdr:col>
      <xdr:colOff>38105</xdr:colOff>
      <xdr:row>25</xdr:row>
      <xdr:rowOff>80968</xdr:rowOff>
    </xdr:to>
    <xdr:sp macro="" textlink="">
      <xdr:nvSpPr>
        <xdr:cNvPr id="14" name="Rectangle: Rounded Corners 13">
          <a:extLst>
            <a:ext uri="{FF2B5EF4-FFF2-40B4-BE49-F238E27FC236}">
              <a16:creationId xmlns:a16="http://schemas.microsoft.com/office/drawing/2014/main" id="{460EA779-0CED-4E9F-8DF2-97CE972C2865}"/>
            </a:ext>
          </a:extLst>
        </xdr:cNvPr>
        <xdr:cNvSpPr/>
      </xdr:nvSpPr>
      <xdr:spPr>
        <a:xfrm rot="5400000">
          <a:off x="6675441" y="2114555"/>
          <a:ext cx="2698115" cy="2362838"/>
        </a:xfrm>
        <a:prstGeom prst="roundRect">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21591</xdr:colOff>
      <xdr:row>10</xdr:row>
      <xdr:rowOff>121291</xdr:rowOff>
    </xdr:from>
    <xdr:to>
      <xdr:col>10</xdr:col>
      <xdr:colOff>550867</xdr:colOff>
      <xdr:row>25</xdr:row>
      <xdr:rowOff>80968</xdr:rowOff>
    </xdr:to>
    <xdr:sp macro="" textlink="">
      <xdr:nvSpPr>
        <xdr:cNvPr id="15" name="Rectangle: Rounded Corners 14">
          <a:extLst>
            <a:ext uri="{FF2B5EF4-FFF2-40B4-BE49-F238E27FC236}">
              <a16:creationId xmlns:a16="http://schemas.microsoft.com/office/drawing/2014/main" id="{542ACA88-8586-4361-B63E-CEDB8E4E4005}"/>
            </a:ext>
          </a:extLst>
        </xdr:cNvPr>
        <xdr:cNvSpPr/>
      </xdr:nvSpPr>
      <xdr:spPr>
        <a:xfrm rot="5400000">
          <a:off x="4132265" y="2114555"/>
          <a:ext cx="2698115" cy="2362838"/>
        </a:xfrm>
        <a:prstGeom prst="roundRect">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140843</xdr:colOff>
      <xdr:row>3</xdr:row>
      <xdr:rowOff>72548</xdr:rowOff>
    </xdr:from>
    <xdr:to>
      <xdr:col>23</xdr:col>
      <xdr:colOff>58931</xdr:colOff>
      <xdr:row>12</xdr:row>
      <xdr:rowOff>26894</xdr:rowOff>
    </xdr:to>
    <xdr:sp macro="" textlink="">
      <xdr:nvSpPr>
        <xdr:cNvPr id="17" name="Rectangle: Rounded Corners 16">
          <a:extLst>
            <a:ext uri="{FF2B5EF4-FFF2-40B4-BE49-F238E27FC236}">
              <a16:creationId xmlns:a16="http://schemas.microsoft.com/office/drawing/2014/main" id="{E59342EF-0FE5-49A0-8393-F7AEDB5D623B}"/>
            </a:ext>
          </a:extLst>
        </xdr:cNvPr>
        <xdr:cNvSpPr/>
      </xdr:nvSpPr>
      <xdr:spPr>
        <a:xfrm rot="5400000">
          <a:off x="12117490" y="216183"/>
          <a:ext cx="1567993" cy="2356488"/>
        </a:xfrm>
        <a:prstGeom prst="roundRect">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466167</xdr:colOff>
      <xdr:row>3</xdr:row>
      <xdr:rowOff>63584</xdr:rowOff>
    </xdr:from>
    <xdr:to>
      <xdr:col>18</xdr:col>
      <xdr:colOff>582709</xdr:colOff>
      <xdr:row>10</xdr:row>
      <xdr:rowOff>35862</xdr:rowOff>
    </xdr:to>
    <xdr:sp macro="" textlink="">
      <xdr:nvSpPr>
        <xdr:cNvPr id="18" name="Rectangle: Rounded Corners 17">
          <a:extLst>
            <a:ext uri="{FF2B5EF4-FFF2-40B4-BE49-F238E27FC236}">
              <a16:creationId xmlns:a16="http://schemas.microsoft.com/office/drawing/2014/main" id="{9FE64B0F-87C0-4B6E-87DF-88393C5A4CB9}"/>
            </a:ext>
          </a:extLst>
        </xdr:cNvPr>
        <xdr:cNvSpPr/>
      </xdr:nvSpPr>
      <xdr:spPr>
        <a:xfrm rot="5400000">
          <a:off x="9359569" y="-367136"/>
          <a:ext cx="1227337" cy="3164542"/>
        </a:xfrm>
        <a:prstGeom prst="roundRect">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215830</xdr:colOff>
      <xdr:row>12</xdr:row>
      <xdr:rowOff>136332</xdr:rowOff>
    </xdr:from>
    <xdr:to>
      <xdr:col>23</xdr:col>
      <xdr:colOff>133918</xdr:colOff>
      <xdr:row>25</xdr:row>
      <xdr:rowOff>62755</xdr:rowOff>
    </xdr:to>
    <xdr:sp macro="" textlink="">
      <xdr:nvSpPr>
        <xdr:cNvPr id="19" name="Rectangle: Rounded Corners 18">
          <a:extLst>
            <a:ext uri="{FF2B5EF4-FFF2-40B4-BE49-F238E27FC236}">
              <a16:creationId xmlns:a16="http://schemas.microsoft.com/office/drawing/2014/main" id="{DF57599A-17C5-4C40-9E2F-C40A1CDC5669}"/>
            </a:ext>
          </a:extLst>
        </xdr:cNvPr>
        <xdr:cNvSpPr/>
      </xdr:nvSpPr>
      <xdr:spPr>
        <a:xfrm rot="5400000">
          <a:off x="11847850" y="2238241"/>
          <a:ext cx="2257247" cy="2356488"/>
        </a:xfrm>
        <a:prstGeom prst="roundRect">
          <a:avLst/>
        </a:prstGeom>
        <a:solidFill>
          <a:srgbClr val="192E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26894</xdr:colOff>
      <xdr:row>1</xdr:row>
      <xdr:rowOff>0</xdr:rowOff>
    </xdr:from>
    <xdr:to>
      <xdr:col>17</xdr:col>
      <xdr:colOff>475129</xdr:colOff>
      <xdr:row>2</xdr:row>
      <xdr:rowOff>116541</xdr:rowOff>
    </xdr:to>
    <xdr:sp macro="" textlink="">
      <xdr:nvSpPr>
        <xdr:cNvPr id="22" name="TextBox 21">
          <a:extLst>
            <a:ext uri="{FF2B5EF4-FFF2-40B4-BE49-F238E27FC236}">
              <a16:creationId xmlns:a16="http://schemas.microsoft.com/office/drawing/2014/main" id="{BE7F1EF4-A0B0-67CB-0611-3EEAE6AA3AA6}"/>
            </a:ext>
          </a:extLst>
        </xdr:cNvPr>
        <xdr:cNvSpPr txBox="1"/>
      </xdr:nvSpPr>
      <xdr:spPr>
        <a:xfrm>
          <a:off x="4903694" y="179294"/>
          <a:ext cx="5934635" cy="295835"/>
        </a:xfrm>
        <a:prstGeom prst="rect">
          <a:avLst/>
        </a:prstGeom>
        <a:solidFill>
          <a:srgbClr val="192E5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F2F2F2"/>
              </a:solidFill>
            </a:rPr>
            <a:t>Misuo Dashboard</a:t>
          </a:r>
        </a:p>
      </xdr:txBody>
    </xdr:sp>
    <xdr:clientData/>
  </xdr:twoCellAnchor>
  <xdr:twoCellAnchor>
    <xdr:from>
      <xdr:col>3</xdr:col>
      <xdr:colOff>143436</xdr:colOff>
      <xdr:row>3</xdr:row>
      <xdr:rowOff>152400</xdr:rowOff>
    </xdr:from>
    <xdr:to>
      <xdr:col>6</xdr:col>
      <xdr:colOff>35860</xdr:colOff>
      <xdr:row>6</xdr:row>
      <xdr:rowOff>17929</xdr:rowOff>
    </xdr:to>
    <xdr:sp macro="" textlink="">
      <xdr:nvSpPr>
        <xdr:cNvPr id="24" name="TextBox 23">
          <a:extLst>
            <a:ext uri="{FF2B5EF4-FFF2-40B4-BE49-F238E27FC236}">
              <a16:creationId xmlns:a16="http://schemas.microsoft.com/office/drawing/2014/main" id="{8A9B593D-4828-4837-9FFA-A7AFFCB2EFE7}"/>
            </a:ext>
          </a:extLst>
        </xdr:cNvPr>
        <xdr:cNvSpPr txBox="1"/>
      </xdr:nvSpPr>
      <xdr:spPr>
        <a:xfrm>
          <a:off x="1972236" y="690282"/>
          <a:ext cx="1721224" cy="403412"/>
        </a:xfrm>
        <a:prstGeom prst="rect">
          <a:avLst/>
        </a:prstGeom>
        <a:solidFill>
          <a:srgbClr val="192E5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F2F2F2"/>
              </a:solidFill>
            </a:rPr>
            <a:t>Total</a:t>
          </a:r>
          <a:r>
            <a:rPr lang="en-US" sz="2400" b="1" baseline="0">
              <a:solidFill>
                <a:srgbClr val="F2F2F2"/>
              </a:solidFill>
            </a:rPr>
            <a:t> Salse</a:t>
          </a:r>
          <a:endParaRPr lang="en-US" sz="2400" b="1">
            <a:solidFill>
              <a:srgbClr val="F2F2F2"/>
            </a:solidFill>
          </a:endParaRPr>
        </a:p>
      </xdr:txBody>
    </xdr:sp>
    <xdr:clientData/>
  </xdr:twoCellAnchor>
  <xdr:twoCellAnchor>
    <xdr:from>
      <xdr:col>3</xdr:col>
      <xdr:colOff>80682</xdr:colOff>
      <xdr:row>6</xdr:row>
      <xdr:rowOff>143434</xdr:rowOff>
    </xdr:from>
    <xdr:to>
      <xdr:col>5</xdr:col>
      <xdr:colOff>573741</xdr:colOff>
      <xdr:row>8</xdr:row>
      <xdr:rowOff>98612</xdr:rowOff>
    </xdr:to>
    <xdr:sp macro="" textlink="'pivot TABLE'!D18">
      <xdr:nvSpPr>
        <xdr:cNvPr id="26" name="TextBox 25">
          <a:extLst>
            <a:ext uri="{FF2B5EF4-FFF2-40B4-BE49-F238E27FC236}">
              <a16:creationId xmlns:a16="http://schemas.microsoft.com/office/drawing/2014/main" id="{203DDDCA-19A3-4BEC-A1C2-3D9EB478412E}"/>
            </a:ext>
          </a:extLst>
        </xdr:cNvPr>
        <xdr:cNvSpPr txBox="1"/>
      </xdr:nvSpPr>
      <xdr:spPr>
        <a:xfrm>
          <a:off x="1909482" y="1219199"/>
          <a:ext cx="1712259" cy="313766"/>
        </a:xfrm>
        <a:prstGeom prst="rect">
          <a:avLst/>
        </a:prstGeom>
        <a:solidFill>
          <a:srgbClr val="192E5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580C04-B0AE-4532-9C29-6C70D35C5A8C}" type="TxLink">
            <a:rPr lang="en-US" sz="2800" b="1" i="0" u="none" strike="noStrike">
              <a:solidFill>
                <a:srgbClr val="C00000"/>
              </a:solidFill>
              <a:latin typeface="Calibri"/>
              <a:ea typeface="Calibri"/>
              <a:cs typeface="Calibri"/>
            </a:rPr>
            <a:pPr algn="ctr"/>
            <a:t> 1,029,330 </a:t>
          </a:fld>
          <a:endParaRPr lang="en-US" sz="2800" b="1">
            <a:solidFill>
              <a:srgbClr val="C00000"/>
            </a:solidFill>
          </a:endParaRPr>
        </a:p>
      </xdr:txBody>
    </xdr:sp>
    <xdr:clientData/>
  </xdr:twoCellAnchor>
  <xdr:twoCellAnchor>
    <xdr:from>
      <xdr:col>6</xdr:col>
      <xdr:colOff>494348</xdr:colOff>
      <xdr:row>3</xdr:row>
      <xdr:rowOff>108455</xdr:rowOff>
    </xdr:from>
    <xdr:to>
      <xdr:col>9</xdr:col>
      <xdr:colOff>377807</xdr:colOff>
      <xdr:row>5</xdr:row>
      <xdr:rowOff>63632</xdr:rowOff>
    </xdr:to>
    <xdr:sp macro="" textlink="">
      <xdr:nvSpPr>
        <xdr:cNvPr id="27" name="TextBox 26">
          <a:extLst>
            <a:ext uri="{FF2B5EF4-FFF2-40B4-BE49-F238E27FC236}">
              <a16:creationId xmlns:a16="http://schemas.microsoft.com/office/drawing/2014/main" id="{81778BDA-2327-4376-8B97-BF4CECC52DD2}"/>
            </a:ext>
          </a:extLst>
        </xdr:cNvPr>
        <xdr:cNvSpPr txBox="1"/>
      </xdr:nvSpPr>
      <xdr:spPr>
        <a:xfrm>
          <a:off x="4151948" y="646337"/>
          <a:ext cx="1712259" cy="313766"/>
        </a:xfrm>
        <a:prstGeom prst="rect">
          <a:avLst/>
        </a:prstGeom>
        <a:solidFill>
          <a:srgbClr val="192E5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F2F2F2"/>
              </a:solidFill>
            </a:rPr>
            <a:t>Total Orders</a:t>
          </a:r>
        </a:p>
      </xdr:txBody>
    </xdr:sp>
    <xdr:clientData/>
  </xdr:twoCellAnchor>
  <xdr:twoCellAnchor>
    <xdr:from>
      <xdr:col>10</xdr:col>
      <xdr:colOff>272583</xdr:colOff>
      <xdr:row>3</xdr:row>
      <xdr:rowOff>123378</xdr:rowOff>
    </xdr:from>
    <xdr:to>
      <xdr:col>13</xdr:col>
      <xdr:colOff>156042</xdr:colOff>
      <xdr:row>5</xdr:row>
      <xdr:rowOff>78555</xdr:rowOff>
    </xdr:to>
    <xdr:sp macro="" textlink="">
      <xdr:nvSpPr>
        <xdr:cNvPr id="28" name="TextBox 27">
          <a:extLst>
            <a:ext uri="{FF2B5EF4-FFF2-40B4-BE49-F238E27FC236}">
              <a16:creationId xmlns:a16="http://schemas.microsoft.com/office/drawing/2014/main" id="{95FB411B-62AC-499B-9F15-0B2C4A47CCE8}"/>
            </a:ext>
          </a:extLst>
        </xdr:cNvPr>
        <xdr:cNvSpPr txBox="1"/>
      </xdr:nvSpPr>
      <xdr:spPr>
        <a:xfrm>
          <a:off x="6368583" y="661260"/>
          <a:ext cx="1712259" cy="313766"/>
        </a:xfrm>
        <a:prstGeom prst="rect">
          <a:avLst/>
        </a:prstGeom>
        <a:solidFill>
          <a:srgbClr val="192E5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F2F2F2"/>
              </a:solidFill>
            </a:rPr>
            <a:t>Average</a:t>
          </a:r>
          <a:r>
            <a:rPr lang="en-US" sz="2000" b="1" baseline="0">
              <a:solidFill>
                <a:srgbClr val="F2F2F2"/>
              </a:solidFill>
            </a:rPr>
            <a:t> </a:t>
          </a:r>
          <a:r>
            <a:rPr lang="en-US" sz="2000" b="1">
              <a:solidFill>
                <a:srgbClr val="F2F2F2"/>
              </a:solidFill>
            </a:rPr>
            <a:t>Price</a:t>
          </a:r>
        </a:p>
      </xdr:txBody>
    </xdr:sp>
    <xdr:clientData/>
  </xdr:twoCellAnchor>
  <xdr:twoCellAnchor>
    <xdr:from>
      <xdr:col>19</xdr:col>
      <xdr:colOff>140843</xdr:colOff>
      <xdr:row>3</xdr:row>
      <xdr:rowOff>72549</xdr:rowOff>
    </xdr:from>
    <xdr:to>
      <xdr:col>22</xdr:col>
      <xdr:colOff>24302</xdr:colOff>
      <xdr:row>5</xdr:row>
      <xdr:rowOff>27726</xdr:rowOff>
    </xdr:to>
    <xdr:sp macro="" textlink="">
      <xdr:nvSpPr>
        <xdr:cNvPr id="30" name="TextBox 29">
          <a:extLst>
            <a:ext uri="{FF2B5EF4-FFF2-40B4-BE49-F238E27FC236}">
              <a16:creationId xmlns:a16="http://schemas.microsoft.com/office/drawing/2014/main" id="{635D536A-F03C-462F-B749-DE1A1950A3AC}"/>
            </a:ext>
          </a:extLst>
        </xdr:cNvPr>
        <xdr:cNvSpPr txBox="1"/>
      </xdr:nvSpPr>
      <xdr:spPr>
        <a:xfrm>
          <a:off x="11723243" y="610431"/>
          <a:ext cx="1712259" cy="313766"/>
        </a:xfrm>
        <a:prstGeom prst="rect">
          <a:avLst/>
        </a:prstGeom>
        <a:solidFill>
          <a:srgbClr val="192E5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F2F2F2"/>
              </a:solidFill>
            </a:rPr>
            <a:t>Total</a:t>
          </a:r>
          <a:r>
            <a:rPr lang="en-US" sz="2000" b="1" baseline="0">
              <a:solidFill>
                <a:srgbClr val="F2F2F2"/>
              </a:solidFill>
            </a:rPr>
            <a:t> Salse</a:t>
          </a:r>
          <a:endParaRPr lang="en-US" sz="2000" b="1">
            <a:solidFill>
              <a:srgbClr val="F2F2F2"/>
            </a:solidFill>
          </a:endParaRPr>
        </a:p>
      </xdr:txBody>
    </xdr:sp>
    <xdr:clientData/>
  </xdr:twoCellAnchor>
  <xdr:twoCellAnchor>
    <xdr:from>
      <xdr:col>6</xdr:col>
      <xdr:colOff>431595</xdr:colOff>
      <xdr:row>6</xdr:row>
      <xdr:rowOff>99490</xdr:rowOff>
    </xdr:from>
    <xdr:to>
      <xdr:col>9</xdr:col>
      <xdr:colOff>315054</xdr:colOff>
      <xdr:row>8</xdr:row>
      <xdr:rowOff>54668</xdr:rowOff>
    </xdr:to>
    <xdr:sp macro="" textlink="'pivot TABLE'!I17">
      <xdr:nvSpPr>
        <xdr:cNvPr id="31" name="TextBox 30">
          <a:extLst>
            <a:ext uri="{FF2B5EF4-FFF2-40B4-BE49-F238E27FC236}">
              <a16:creationId xmlns:a16="http://schemas.microsoft.com/office/drawing/2014/main" id="{39F51611-981F-4591-A256-681308C98C5F}"/>
            </a:ext>
          </a:extLst>
        </xdr:cNvPr>
        <xdr:cNvSpPr txBox="1"/>
      </xdr:nvSpPr>
      <xdr:spPr>
        <a:xfrm>
          <a:off x="4089195" y="1175255"/>
          <a:ext cx="1712259" cy="313766"/>
        </a:xfrm>
        <a:prstGeom prst="rect">
          <a:avLst/>
        </a:prstGeom>
        <a:solidFill>
          <a:srgbClr val="192E5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C09749-0DAD-4B6E-AD5D-83BEA4B528AA}" type="TxLink">
            <a:rPr lang="en-US" sz="2800" b="1" i="0" u="none" strike="noStrike">
              <a:solidFill>
                <a:srgbClr val="C00000"/>
              </a:solidFill>
              <a:latin typeface="Calibri"/>
              <a:ea typeface="Calibri"/>
              <a:cs typeface="Calibri"/>
            </a:rPr>
            <a:pPr marL="0" indent="0" algn="ctr"/>
            <a:t>126</a:t>
          </a:fld>
          <a:endParaRPr lang="en-US" sz="2800" b="1" i="0" u="none" strike="noStrike">
            <a:solidFill>
              <a:srgbClr val="C00000"/>
            </a:solidFill>
            <a:latin typeface="Calibri"/>
            <a:ea typeface="Calibri"/>
            <a:cs typeface="Calibri"/>
          </a:endParaRPr>
        </a:p>
      </xdr:txBody>
    </xdr:sp>
    <xdr:clientData/>
  </xdr:twoCellAnchor>
  <xdr:twoCellAnchor>
    <xdr:from>
      <xdr:col>10</xdr:col>
      <xdr:colOff>229814</xdr:colOff>
      <xdr:row>6</xdr:row>
      <xdr:rowOff>77712</xdr:rowOff>
    </xdr:from>
    <xdr:to>
      <xdr:col>13</xdr:col>
      <xdr:colOff>113273</xdr:colOff>
      <xdr:row>8</xdr:row>
      <xdr:rowOff>32890</xdr:rowOff>
    </xdr:to>
    <xdr:sp macro="" textlink="'pivot TABLE'!O17">
      <xdr:nvSpPr>
        <xdr:cNvPr id="32" name="TextBox 31">
          <a:extLst>
            <a:ext uri="{FF2B5EF4-FFF2-40B4-BE49-F238E27FC236}">
              <a16:creationId xmlns:a16="http://schemas.microsoft.com/office/drawing/2014/main" id="{416D00FF-656D-4C93-BE67-7DEFB0E077E0}"/>
            </a:ext>
          </a:extLst>
        </xdr:cNvPr>
        <xdr:cNvSpPr txBox="1"/>
      </xdr:nvSpPr>
      <xdr:spPr>
        <a:xfrm>
          <a:off x="6325814" y="1153477"/>
          <a:ext cx="1712259" cy="313766"/>
        </a:xfrm>
        <a:prstGeom prst="rect">
          <a:avLst/>
        </a:prstGeom>
        <a:solidFill>
          <a:srgbClr val="192E5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237068-1107-46F0-90FB-DE43B0F8E8BA}" type="TxLink">
            <a:rPr lang="en-US" sz="2800" b="1" i="0" u="none" strike="noStrike">
              <a:solidFill>
                <a:srgbClr val="C00000"/>
              </a:solidFill>
              <a:latin typeface="Calibri"/>
              <a:ea typeface="Calibri"/>
              <a:cs typeface="Calibri"/>
            </a:rPr>
            <a:pPr marL="0" indent="0" algn="ctr"/>
            <a:t> 10,261 </a:t>
          </a:fld>
          <a:endParaRPr lang="en-US" sz="2800" b="1" i="0" u="none" strike="noStrike">
            <a:solidFill>
              <a:srgbClr val="C00000"/>
            </a:solidFill>
            <a:latin typeface="Calibri"/>
            <a:ea typeface="Calibri"/>
            <a:cs typeface="Calibri"/>
          </a:endParaRPr>
        </a:p>
      </xdr:txBody>
    </xdr:sp>
    <xdr:clientData/>
  </xdr:twoCellAnchor>
  <xdr:twoCellAnchor>
    <xdr:from>
      <xdr:col>19</xdr:col>
      <xdr:colOff>385483</xdr:colOff>
      <xdr:row>12</xdr:row>
      <xdr:rowOff>53789</xdr:rowOff>
    </xdr:from>
    <xdr:to>
      <xdr:col>22</xdr:col>
      <xdr:colOff>502025</xdr:colOff>
      <xdr:row>22</xdr:row>
      <xdr:rowOff>179293</xdr:rowOff>
    </xdr:to>
    <xdr:graphicFrame macro="">
      <xdr:nvGraphicFramePr>
        <xdr:cNvPr id="33" name="Chart 32">
          <a:extLst>
            <a:ext uri="{FF2B5EF4-FFF2-40B4-BE49-F238E27FC236}">
              <a16:creationId xmlns:a16="http://schemas.microsoft.com/office/drawing/2014/main" id="{BEFBBEBB-01A5-4AF7-A4DB-B446C550E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8963</xdr:colOff>
      <xdr:row>3</xdr:row>
      <xdr:rowOff>107578</xdr:rowOff>
    </xdr:from>
    <xdr:to>
      <xdr:col>18</xdr:col>
      <xdr:colOff>448233</xdr:colOff>
      <xdr:row>10</xdr:row>
      <xdr:rowOff>8965</xdr:rowOff>
    </xdr:to>
    <xdr:graphicFrame macro="">
      <xdr:nvGraphicFramePr>
        <xdr:cNvPr id="35" name="Chart 34">
          <a:extLst>
            <a:ext uri="{FF2B5EF4-FFF2-40B4-BE49-F238E27FC236}">
              <a16:creationId xmlns:a16="http://schemas.microsoft.com/office/drawing/2014/main" id="{E97A08C7-7256-43D3-BDA0-9BC42ADE2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358588</xdr:colOff>
      <xdr:row>13</xdr:row>
      <xdr:rowOff>98610</xdr:rowOff>
    </xdr:from>
    <xdr:to>
      <xdr:col>23</xdr:col>
      <xdr:colOff>62752</xdr:colOff>
      <xdr:row>24</xdr:row>
      <xdr:rowOff>107575</xdr:rowOff>
    </xdr:to>
    <xdr:graphicFrame macro="">
      <xdr:nvGraphicFramePr>
        <xdr:cNvPr id="8" name="Chart 7">
          <a:extLst>
            <a:ext uri="{FF2B5EF4-FFF2-40B4-BE49-F238E27FC236}">
              <a16:creationId xmlns:a16="http://schemas.microsoft.com/office/drawing/2014/main" id="{83DCD0B7-4F93-4619-A1A6-13176A8A0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313766</xdr:colOff>
      <xdr:row>3</xdr:row>
      <xdr:rowOff>116540</xdr:rowOff>
    </xdr:from>
    <xdr:to>
      <xdr:col>22</xdr:col>
      <xdr:colOff>502024</xdr:colOff>
      <xdr:row>11</xdr:row>
      <xdr:rowOff>152400</xdr:rowOff>
    </xdr:to>
    <xdr:graphicFrame macro="">
      <xdr:nvGraphicFramePr>
        <xdr:cNvPr id="9" name="Chart 8">
          <a:extLst>
            <a:ext uri="{FF2B5EF4-FFF2-40B4-BE49-F238E27FC236}">
              <a16:creationId xmlns:a16="http://schemas.microsoft.com/office/drawing/2014/main" id="{B589D0CA-E800-4C6E-AD94-966DECE49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403620</xdr:colOff>
      <xdr:row>11</xdr:row>
      <xdr:rowOff>26895</xdr:rowOff>
    </xdr:from>
    <xdr:to>
      <xdr:col>18</xdr:col>
      <xdr:colOff>582705</xdr:colOff>
      <xdr:row>24</xdr:row>
      <xdr:rowOff>161365</xdr:rowOff>
    </xdr:to>
    <xdr:graphicFrame macro="">
      <xdr:nvGraphicFramePr>
        <xdr:cNvPr id="10" name="Chart 9">
          <a:extLst>
            <a:ext uri="{FF2B5EF4-FFF2-40B4-BE49-F238E27FC236}">
              <a16:creationId xmlns:a16="http://schemas.microsoft.com/office/drawing/2014/main" id="{BB024DFB-F8D9-4035-9F3B-6B134278A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313765</xdr:colOff>
      <xdr:row>11</xdr:row>
      <xdr:rowOff>107577</xdr:rowOff>
    </xdr:from>
    <xdr:to>
      <xdr:col>14</xdr:col>
      <xdr:colOff>505033</xdr:colOff>
      <xdr:row>24</xdr:row>
      <xdr:rowOff>55363</xdr:rowOff>
    </xdr:to>
    <xdr:graphicFrame macro="">
      <xdr:nvGraphicFramePr>
        <xdr:cNvPr id="11" name="Chart 10">
          <a:extLst>
            <a:ext uri="{FF2B5EF4-FFF2-40B4-BE49-F238E27FC236}">
              <a16:creationId xmlns:a16="http://schemas.microsoft.com/office/drawing/2014/main" id="{47F272EF-141F-4EC9-B5C5-9175F8539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176139</xdr:colOff>
      <xdr:row>11</xdr:row>
      <xdr:rowOff>136046</xdr:rowOff>
    </xdr:from>
    <xdr:to>
      <xdr:col>10</xdr:col>
      <xdr:colOff>397119</xdr:colOff>
      <xdr:row>24</xdr:row>
      <xdr:rowOff>7402</xdr:rowOff>
    </xdr:to>
    <xdr:graphicFrame macro="">
      <xdr:nvGraphicFramePr>
        <xdr:cNvPr id="12" name="Chart 11">
          <a:extLst>
            <a:ext uri="{FF2B5EF4-FFF2-40B4-BE49-F238E27FC236}">
              <a16:creationId xmlns:a16="http://schemas.microsoft.com/office/drawing/2014/main" id="{F7412F0C-B8AD-44EC-8EA3-2E3672B1D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98258</xdr:colOff>
      <xdr:row>11</xdr:row>
      <xdr:rowOff>35858</xdr:rowOff>
    </xdr:from>
    <xdr:to>
      <xdr:col>6</xdr:col>
      <xdr:colOff>268942</xdr:colOff>
      <xdr:row>25</xdr:row>
      <xdr:rowOff>28467</xdr:rowOff>
    </xdr:to>
    <xdr:graphicFrame macro="">
      <xdr:nvGraphicFramePr>
        <xdr:cNvPr id="16" name="Chart 15">
          <a:extLst>
            <a:ext uri="{FF2B5EF4-FFF2-40B4-BE49-F238E27FC236}">
              <a16:creationId xmlns:a16="http://schemas.microsoft.com/office/drawing/2014/main" id="{A0D006B1-8156-46E8-B246-05CDD28A2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231914</xdr:colOff>
      <xdr:row>1</xdr:row>
      <xdr:rowOff>82827</xdr:rowOff>
    </xdr:from>
    <xdr:to>
      <xdr:col>2</xdr:col>
      <xdr:colOff>356153</xdr:colOff>
      <xdr:row>8</xdr:row>
      <xdr:rowOff>157370</xdr:rowOff>
    </xdr:to>
    <xdr:pic>
      <xdr:nvPicPr>
        <xdr:cNvPr id="21" name="Picture 20">
          <a:hlinkClick xmlns:r="http://schemas.openxmlformats.org/officeDocument/2006/relationships" r:id="rId9"/>
          <a:extLst>
            <a:ext uri="{FF2B5EF4-FFF2-40B4-BE49-F238E27FC236}">
              <a16:creationId xmlns:a16="http://schemas.microsoft.com/office/drawing/2014/main" id="{A3CF716C-F8C5-1F02-C0F0-85A585BEACE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31914" y="265044"/>
          <a:ext cx="1350065" cy="1350065"/>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0</xdr:col>
      <xdr:colOff>165652</xdr:colOff>
      <xdr:row>9</xdr:row>
      <xdr:rowOff>57978</xdr:rowOff>
    </xdr:from>
    <xdr:to>
      <xdr:col>2</xdr:col>
      <xdr:colOff>356152</xdr:colOff>
      <xdr:row>24</xdr:row>
      <xdr:rowOff>99391</xdr:rowOff>
    </xdr:to>
    <mc:AlternateContent xmlns:mc="http://schemas.openxmlformats.org/markup-compatibility/2006" xmlns:a14="http://schemas.microsoft.com/office/drawing/2010/main">
      <mc:Choice Requires="a14">
        <xdr:graphicFrame macro="">
          <xdr:nvGraphicFramePr>
            <xdr:cNvPr id="23" name="المحافظة">
              <a:extLst>
                <a:ext uri="{FF2B5EF4-FFF2-40B4-BE49-F238E27FC236}">
                  <a16:creationId xmlns:a16="http://schemas.microsoft.com/office/drawing/2014/main" id="{187AFE3B-6070-4B8A-9FC5-CFADE3C0AC1C}"/>
                </a:ext>
              </a:extLst>
            </xdr:cNvPr>
            <xdr:cNvGraphicFramePr/>
          </xdr:nvGraphicFramePr>
          <xdr:xfrm>
            <a:off x="0" y="0"/>
            <a:ext cx="0" cy="0"/>
          </xdr:xfrm>
          <a:graphic>
            <a:graphicData uri="http://schemas.microsoft.com/office/drawing/2010/slicer">
              <sle:slicer xmlns:sle="http://schemas.microsoft.com/office/drawing/2010/slicer" name="المحافظة"/>
            </a:graphicData>
          </a:graphic>
        </xdr:graphicFrame>
      </mc:Choice>
      <mc:Fallback xmlns="">
        <xdr:sp macro="" textlink="">
          <xdr:nvSpPr>
            <xdr:cNvPr id="0" name=""/>
            <xdr:cNvSpPr>
              <a:spLocks noTextEdit="1"/>
            </xdr:cNvSpPr>
          </xdr:nvSpPr>
          <xdr:spPr>
            <a:xfrm>
              <a:off x="165652" y="1697935"/>
              <a:ext cx="1416326" cy="27746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6.193950810186" createdVersion="8" refreshedVersion="8" minRefreshableVersion="3" recordCount="126" xr:uid="{D5C16B5B-F0A6-4B9F-86A9-DCEBC6A81845}">
  <cacheSource type="worksheet">
    <worksheetSource name="misuo__3"/>
  </cacheSource>
  <cacheFields count="26">
    <cacheField name="المنتج" numFmtId="0">
      <sharedItems/>
    </cacheField>
    <cacheField name="الصنف" numFmtId="0">
      <sharedItems count="6">
        <s v="سرير"/>
        <s v="ترابيزة"/>
        <s v="ركنة"/>
        <s v="كنبة"/>
        <s v="فوتيه"/>
        <s v="فارغ/غير معروف"/>
      </sharedItems>
    </cacheField>
    <cacheField name="نوع الصنف" numFmtId="0">
      <sharedItems count="8">
        <s v="كيفينج"/>
        <s v="نوفال"/>
        <s v="موديل عام"/>
        <s v="إسباني"/>
        <s v="كينج"/>
        <s v="فورجينا"/>
        <s v="ارفيل"/>
        <s v="كوين"/>
      </sharedItems>
    </cacheField>
    <cacheField name="اللون" numFmtId="0">
      <sharedItems count="5">
        <s v="أزرق"/>
        <s v="رمادي"/>
        <s v="لم يُحدد"/>
        <s v="أسود"/>
        <s v="أبيض"/>
      </sharedItems>
    </cacheField>
    <cacheField name="أسم العميل" numFmtId="0">
      <sharedItems/>
    </cacheField>
    <cacheField name="نوع العميل" numFmtId="0">
      <sharedItems containsBlank="1" count="3">
        <s v="افراد"/>
        <s v="شركات"/>
        <m u="1"/>
      </sharedItems>
    </cacheField>
    <cacheField name="العنوان" numFmtId="0">
      <sharedItems containsBlank="1"/>
    </cacheField>
    <cacheField name="المحافظة" numFmtId="0">
      <sharedItems containsBlank="1" count="12">
        <s v="مطروح"/>
        <s v="القاهرة"/>
        <s v="السويس"/>
        <s v="الجيزة"/>
        <s v="الإسكندرية"/>
        <s v="البحر الأحمر"/>
        <s v="(خلية فارغة)"/>
        <s v="القليوبية"/>
        <s v="أسيوط"/>
        <s v="(حسب موقع المخزن)"/>
        <s v="(حسب موقع المخزن - غالباً الجيزة/أكتوبر)" u="1"/>
        <m u="1"/>
      </sharedItems>
    </cacheField>
    <cacheField name="منصة البيع " numFmtId="0">
      <sharedItems containsBlank="1" count="9">
        <s v="هومزمارت"/>
        <s v="فيسبوك"/>
        <s v="شيك هومز"/>
        <s v="تاكى"/>
        <s v="اوسكار ريتن "/>
        <s v="السويس"/>
        <s v="منزلى"/>
        <s v="كيمت "/>
        <m u="1"/>
      </sharedItems>
    </cacheField>
    <cacheField name="الصنف2" numFmtId="0">
      <sharedItems/>
    </cacheField>
    <cacheField name="نوع الصنف2" numFmtId="0">
      <sharedItems containsBlank="1"/>
    </cacheField>
    <cacheField name="الاسم" numFmtId="0">
      <sharedItems containsBlank="1"/>
    </cacheField>
    <cacheField name="المقاس" numFmtId="0">
      <sharedItems containsBlank="1" containsMixedTypes="1" containsNumber="1" containsInteger="1" minValue="80" maxValue="160"/>
    </cacheField>
    <cacheField name="اللون المعدن" numFmtId="0">
      <sharedItems containsBlank="1"/>
    </cacheField>
    <cacheField name="سعر البيع " numFmtId="0">
      <sharedItems containsSemiMixedTypes="0" containsString="0" containsNumber="1" minValue="4020" maxValue="22000"/>
    </cacheField>
    <cacheField name="طريقة الدفع" numFmtId="0">
      <sharedItems containsMixedTypes="1" containsNumber="1" containsInteger="1" minValue="0" maxValue="0"/>
    </cacheField>
    <cacheField name="معاد التسليم الهدف" numFmtId="0">
      <sharedItems containsSemiMixedTypes="0" containsString="0" containsNumber="1" containsInteger="1" minValue="0" maxValue="67"/>
    </cacheField>
    <cacheField name="معاد التسليم الفعلي" numFmtId="0">
      <sharedItems containsSemiMixedTypes="0" containsString="0" containsNumber="1" containsInteger="1" minValue="0" maxValue="59"/>
    </cacheField>
    <cacheField name="حالة الالتزام" numFmtId="0">
      <sharedItems count="4">
        <s v="فراغ قيم"/>
        <s v="متأخر"/>
        <s v="في الموعد"/>
        <s v="" u="1"/>
      </sharedItems>
    </cacheField>
    <cacheField name="ميعاد الطلب" numFmtId="14">
      <sharedItems containsNonDate="0" containsDate="1" containsString="0" containsBlank="1" minDate="2024-07-27T00:00:00" maxDate="2024-12-15T00:00:00"/>
    </cacheField>
    <cacheField name="ميعاد التسليم" numFmtId="14">
      <sharedItems containsNonDate="0" containsDate="1" containsString="0" containsBlank="1" minDate="2024-08-20T00:00:00" maxDate="2025-01-06T00:00:00"/>
    </cacheField>
    <cacheField name="تاريخ التسليم" numFmtId="14">
      <sharedItems containsNonDate="0" containsDate="1" containsString="0" containsBlank="1" minDate="2024-08-10T00:00:00" maxDate="2024-12-30T00:00:00" count="44">
        <m/>
        <d v="2024-09-25T00:00:00"/>
        <d v="2024-08-10T00:00:00"/>
        <d v="2024-08-11T00:00:00"/>
        <d v="2024-08-27T00:00:00"/>
        <d v="2024-09-05T00:00:00"/>
        <d v="2024-08-19T00:00:00"/>
        <d v="2024-09-10T00:00:00"/>
        <d v="2024-09-17T00:00:00"/>
        <d v="2024-09-08T00:00:00"/>
        <d v="2024-09-15T00:00:00"/>
        <d v="2024-09-21T00:00:00"/>
        <d v="2024-09-22T00:00:00"/>
        <d v="2024-09-24T00:00:00"/>
        <d v="2024-09-30T00:00:00"/>
        <d v="2024-10-03T00:00:00"/>
        <d v="2024-10-02T00:00:00"/>
        <d v="2024-10-16T00:00:00"/>
        <d v="2024-10-20T00:00:00"/>
        <d v="2024-10-15T00:00:00"/>
        <d v="2024-10-04T00:00:00"/>
        <d v="2024-10-21T00:00:00"/>
        <d v="2024-10-30T00:00:00"/>
        <d v="2024-10-19T00:00:00"/>
        <d v="2024-10-13T00:00:00"/>
        <d v="2024-10-17T00:00:00"/>
        <d v="2024-10-01T00:00:00"/>
        <d v="2024-10-09T00:00:00"/>
        <d v="2024-11-14T00:00:00"/>
        <d v="2024-10-12T00:00:00"/>
        <d v="2024-10-10T00:00:00"/>
        <d v="2024-11-02T00:00:00"/>
        <d v="2024-12-03T00:00:00"/>
        <d v="2024-11-18T00:00:00"/>
        <d v="2024-11-21T00:00:00"/>
        <d v="2024-11-27T00:00:00"/>
        <d v="2024-11-25T00:00:00"/>
        <d v="2024-11-26T00:00:00"/>
        <d v="2024-12-10T00:00:00"/>
        <d v="2024-11-20T00:00:00"/>
        <d v="2024-12-23T00:00:00"/>
        <d v="2024-12-19T00:00:00"/>
        <d v="2024-12-12T00:00:00"/>
        <d v="2024-12-29T00:00:00"/>
      </sharedItems>
      <fieldGroup par="25"/>
    </cacheField>
    <cacheField name="المسئول عن التسليم" numFmtId="0">
      <sharedItems containsBlank="1"/>
    </cacheField>
    <cacheField name="الحالة المعدلة" numFmtId="0">
      <sharedItems containsBlank="1" count="4">
        <s v="مرفوض "/>
        <s v="مرتجع"/>
        <s v="تم التسليم"/>
        <m u="1"/>
      </sharedItems>
    </cacheField>
    <cacheField name="Days (تاريخ التسليم)" numFmtId="0" databaseField="0">
      <fieldGroup base="21">
        <rangePr groupBy="days" startDate="2024-08-10T00:00:00" endDate="2024-12-30T00:00:00"/>
        <groupItems count="368">
          <s v="&lt;8/10/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4"/>
        </groupItems>
      </fieldGroup>
    </cacheField>
    <cacheField name="Months (تاريخ التسليم)" numFmtId="0" databaseField="0">
      <fieldGroup base="21">
        <rangePr groupBy="months" startDate="2024-08-10T00:00:00" endDate="2024-12-30T00:00:00"/>
        <groupItems count="14">
          <s v="&lt;8/10/2024"/>
          <s v="Jan"/>
          <s v="Feb"/>
          <s v="Mar"/>
          <s v="Apr"/>
          <s v="May"/>
          <s v="Jun"/>
          <s v="Jul"/>
          <s v="Aug"/>
          <s v="Sep"/>
          <s v="Oct"/>
          <s v="Nov"/>
          <s v="Dec"/>
          <s v="&gt;12/30/2024"/>
        </groupItems>
      </fieldGroup>
    </cacheField>
  </cacheFields>
  <extLst>
    <ext xmlns:x14="http://schemas.microsoft.com/office/spreadsheetml/2009/9/main" uri="{725AE2AE-9491-48be-B2B4-4EB974FC3084}">
      <x14:pivotCacheDefinition pivotCacheId="1110366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سرير كيفينج مقاس 90 لون ازرق "/>
    <x v="0"/>
    <x v="0"/>
    <x v="0"/>
    <s v="سعيد"/>
    <x v="0"/>
    <s v="سيدى عبد الرحمن - الساحل الشمالى "/>
    <x v="0"/>
    <x v="0"/>
    <s v="سرير"/>
    <s v="دورين"/>
    <s v="كيفنج"/>
    <n v="90"/>
    <s v="ازرق"/>
    <n v="11455"/>
    <s v="كاش"/>
    <n v="0"/>
    <n v="0"/>
    <x v="0"/>
    <d v="2024-07-27T00:00:00"/>
    <m/>
    <x v="0"/>
    <s v="فشل التسليم"/>
    <x v="0"/>
  </r>
  <r>
    <s v="سرير نوفال متر رمادى "/>
    <x v="0"/>
    <x v="1"/>
    <x v="1"/>
    <s v="زينا"/>
    <x v="0"/>
    <s v="سيدى عبد الرحمن - الساحل الشمالى "/>
    <x v="0"/>
    <x v="0"/>
    <s v="سرير"/>
    <s v="دورين"/>
    <s v="نوفال"/>
    <n v="100"/>
    <s v="رمادى"/>
    <n v="12833"/>
    <s v="كاش"/>
    <n v="15"/>
    <n v="0"/>
    <x v="0"/>
    <d v="2024-08-16T00:00:00"/>
    <d v="2024-08-31T00:00:00"/>
    <x v="0"/>
    <s v="فشل التسليم"/>
    <x v="0"/>
  </r>
  <r>
    <s v="ترابيزه قهوه علويه جديده "/>
    <x v="1"/>
    <x v="2"/>
    <x v="2"/>
    <s v="لينا"/>
    <x v="0"/>
    <s v="المقطم "/>
    <x v="1"/>
    <x v="0"/>
    <s v="تربيزه"/>
    <s v="2 ميكانزم"/>
    <m/>
    <m/>
    <m/>
    <n v="7849"/>
    <s v="مسبق الدفع"/>
    <n v="12"/>
    <n v="21"/>
    <x v="1"/>
    <d v="2024-09-04T00:00:00"/>
    <d v="2024-09-16T00:00:00"/>
    <x v="1"/>
    <s v="تم التسليم عن طريق شركه شحن"/>
    <x v="1"/>
  </r>
  <r>
    <s v="سرير منطببق اسود وقماش اسود"/>
    <x v="0"/>
    <x v="2"/>
    <x v="3"/>
    <s v="صفاء الحكيم"/>
    <x v="0"/>
    <s v="العين السخنه"/>
    <x v="2"/>
    <x v="0"/>
    <s v="سرير"/>
    <s v="منطبق"/>
    <m/>
    <m/>
    <s v="اسود"/>
    <n v="9399"/>
    <s v="مسبق الدفع"/>
    <n v="8"/>
    <n v="0"/>
    <x v="0"/>
    <d v="2024-09-14T00:00:00"/>
    <d v="2024-09-22T00:00:00"/>
    <x v="0"/>
    <s v="فشل التسليم"/>
    <x v="0"/>
  </r>
  <r>
    <s v="سرير ٣ ادورا اسود مقاس ١٠٠ "/>
    <x v="0"/>
    <x v="2"/>
    <x v="3"/>
    <s v="عبير نور الدين"/>
    <x v="0"/>
    <s v="١٨ شارع البحيري بولاق الدكرور الجيزه "/>
    <x v="3"/>
    <x v="1"/>
    <s v="سرير"/>
    <s v="ثلاثه ادوار"/>
    <s v="كيفنج"/>
    <n v="100"/>
    <s v="اسود"/>
    <n v="9450"/>
    <s v="كاش"/>
    <n v="14"/>
    <n v="0"/>
    <x v="0"/>
    <d v="2024-09-12T00:00:00"/>
    <d v="2024-09-26T00:00:00"/>
    <x v="0"/>
    <m/>
    <x v="0"/>
  </r>
  <r>
    <s v="سرير منطبق الحديد ابيض والقماش ابيض "/>
    <x v="0"/>
    <x v="2"/>
    <x v="4"/>
    <s v="خالد عبد القوى"/>
    <x v="0"/>
    <s v="العجوزه - الجيزه"/>
    <x v="3"/>
    <x v="0"/>
    <s v="سرير"/>
    <s v="منطبق"/>
    <m/>
    <m/>
    <m/>
    <n v="10160"/>
    <s v="مسبق الدفع"/>
    <n v="0"/>
    <n v="14"/>
    <x v="0"/>
    <d v="2024-07-27T00:00:00"/>
    <m/>
    <x v="2"/>
    <s v="تم التسليم عن طريق شركه شحن"/>
    <x v="2"/>
  </r>
  <r>
    <s v="سرير منطبق اسود والقماش اسود "/>
    <x v="0"/>
    <x v="2"/>
    <x v="3"/>
    <s v="محمود"/>
    <x v="0"/>
    <s v="سموحه - اسكندريه"/>
    <x v="4"/>
    <x v="0"/>
    <s v="سرير"/>
    <s v="منطبق"/>
    <m/>
    <m/>
    <m/>
    <n v="10160"/>
    <s v="كاش"/>
    <n v="0"/>
    <n v="14"/>
    <x v="0"/>
    <d v="2024-07-28T00:00:00"/>
    <m/>
    <x v="3"/>
    <s v="تم التسليم عن طريق شركه شحن"/>
    <x v="2"/>
  </r>
  <r>
    <s v="ترابيزه قهوه متحركه "/>
    <x v="1"/>
    <x v="2"/>
    <x v="2"/>
    <s v="ساندرا"/>
    <x v="0"/>
    <s v="الغردقه "/>
    <x v="5"/>
    <x v="0"/>
    <s v="تربيزه"/>
    <m/>
    <m/>
    <m/>
    <m/>
    <n v="8642"/>
    <s v="مسبق الدفع"/>
    <n v="13"/>
    <n v="2"/>
    <x v="2"/>
    <d v="2024-08-25T00:00:00"/>
    <d v="2024-09-07T00:00:00"/>
    <x v="4"/>
    <s v="تم التسليم عن طريق شركه شحن"/>
    <x v="2"/>
  </r>
  <r>
    <s v="كنبه سرير رمادى "/>
    <x v="0"/>
    <x v="2"/>
    <x v="1"/>
    <s v="شيك هومز"/>
    <x v="1"/>
    <m/>
    <x v="6"/>
    <x v="2"/>
    <s v="كنبة "/>
    <s v="4*1"/>
    <m/>
    <m/>
    <m/>
    <n v="14550"/>
    <s v="مسبق الدفع"/>
    <n v="20"/>
    <n v="22"/>
    <x v="1"/>
    <d v="2024-08-14T00:00:00"/>
    <d v="2024-09-03T00:00:00"/>
    <x v="5"/>
    <s v="تم التسليم عن طريق شركه شحن"/>
    <x v="2"/>
  </r>
  <r>
    <s v="كنبه سرير رمادى "/>
    <x v="0"/>
    <x v="2"/>
    <x v="1"/>
    <s v="احمد"/>
    <x v="0"/>
    <s v="التجمع الخامس"/>
    <x v="1"/>
    <x v="1"/>
    <s v="كنبة "/>
    <s v="4*1"/>
    <m/>
    <m/>
    <m/>
    <n v="12000"/>
    <s v="كاش"/>
    <n v="3"/>
    <n v="2"/>
    <x v="2"/>
    <d v="2024-08-17T00:00:00"/>
    <d v="2024-08-20T00:00:00"/>
    <x v="6"/>
    <s v="تم التسليم عن طريق شركه شحن"/>
    <x v="2"/>
  </r>
  <r>
    <s v="سرير فردى ابيض "/>
    <x v="0"/>
    <x v="2"/>
    <x v="4"/>
    <s v="yilmaz"/>
    <x v="0"/>
    <s v="٦ اكتوبر الجيزه "/>
    <x v="3"/>
    <x v="0"/>
    <s v="سرير"/>
    <s v="فردى"/>
    <m/>
    <m/>
    <m/>
    <n v="7228"/>
    <s v="مسبق الدفع"/>
    <n v="9"/>
    <n v="16"/>
    <x v="1"/>
    <d v="2024-08-25T00:00:00"/>
    <d v="2024-09-03T00:00:00"/>
    <x v="7"/>
    <s v="تم التسليم عن طريق شركه شحن"/>
    <x v="2"/>
  </r>
  <r>
    <s v="ركنه "/>
    <x v="2"/>
    <x v="2"/>
    <x v="2"/>
    <s v="تاكي"/>
    <x v="1"/>
    <s v="العباسيه"/>
    <x v="1"/>
    <x v="3"/>
    <s v="ركنة"/>
    <s v="ركنة بسرير"/>
    <m/>
    <m/>
    <m/>
    <n v="22000"/>
    <s v="كاش"/>
    <n v="13"/>
    <n v="29"/>
    <x v="1"/>
    <d v="2024-08-19T00:00:00"/>
    <d v="2024-09-01T00:00:00"/>
    <x v="8"/>
    <m/>
    <x v="2"/>
  </r>
  <r>
    <s v="٢ كنبه سحاره بدون مخدع "/>
    <x v="3"/>
    <x v="2"/>
    <x v="2"/>
    <s v="تاكي"/>
    <x v="1"/>
    <s v="العباسيه "/>
    <x v="1"/>
    <x v="3"/>
    <s v="كنبة "/>
    <s v="سحارة"/>
    <m/>
    <m/>
    <m/>
    <n v="6000"/>
    <s v="كاش"/>
    <n v="21"/>
    <n v="23"/>
    <x v="1"/>
    <d v="2024-08-25T00:00:00"/>
    <d v="2024-09-15T00:00:00"/>
    <x v="8"/>
    <s v="تم التسليم محمود على "/>
    <x v="2"/>
  </r>
  <r>
    <s v="٢ كنبه سحاره بدون مخدع "/>
    <x v="3"/>
    <x v="2"/>
    <x v="2"/>
    <s v="تاكي"/>
    <x v="1"/>
    <s v="العباسيه "/>
    <x v="1"/>
    <x v="3"/>
    <s v="كنبة "/>
    <s v="سحارة"/>
    <m/>
    <m/>
    <m/>
    <n v="6000"/>
    <s v="كاش"/>
    <n v="21"/>
    <n v="23"/>
    <x v="1"/>
    <d v="2024-08-25T00:00:00"/>
    <d v="2024-09-15T00:00:00"/>
    <x v="8"/>
    <s v="تم التسليم محمود على "/>
    <x v="2"/>
  </r>
  <r>
    <s v="سرير نوفال ابيض مقاس ٨٠"/>
    <x v="0"/>
    <x v="1"/>
    <x v="4"/>
    <s v="على رشوان"/>
    <x v="0"/>
    <s v="مصر الجديده"/>
    <x v="1"/>
    <x v="0"/>
    <s v="سرير"/>
    <s v="دورين"/>
    <s v="نوفال"/>
    <n v="80"/>
    <s v="ابيض"/>
    <n v="10499"/>
    <s v="كاش"/>
    <n v="15"/>
    <n v="7"/>
    <x v="2"/>
    <d v="2024-09-01T00:00:00"/>
    <d v="2024-09-16T00:00:00"/>
    <x v="9"/>
    <s v="تم التسليم عن طريق شركه شحن"/>
    <x v="2"/>
  </r>
  <r>
    <s v="٢ سرير كيفنج ١٢٠ اسود "/>
    <x v="0"/>
    <x v="0"/>
    <x v="3"/>
    <s v="فيصل نعيم"/>
    <x v="0"/>
    <s v="التجمع الخامس "/>
    <x v="1"/>
    <x v="4"/>
    <s v="سرير"/>
    <s v="دورين"/>
    <s v="كيفنج"/>
    <n v="120"/>
    <s v="اسود"/>
    <n v="6180"/>
    <s v="كاش"/>
    <n v="13"/>
    <n v="12"/>
    <x v="2"/>
    <d v="2024-09-03T00:00:00"/>
    <d v="2024-09-16T00:00:00"/>
    <x v="10"/>
    <s v="تم التسليم محمود على "/>
    <x v="2"/>
  </r>
  <r>
    <s v="٢ سرير كيفنج ١٢٠ اسود "/>
    <x v="0"/>
    <x v="0"/>
    <x v="3"/>
    <s v="فيصل نعيم"/>
    <x v="0"/>
    <s v="التجمع الخامس "/>
    <x v="1"/>
    <x v="4"/>
    <s v="سرير"/>
    <s v="دورين"/>
    <s v="كيفنج"/>
    <n v="120"/>
    <s v="اسود"/>
    <n v="6180"/>
    <s v="كاش"/>
    <n v="13"/>
    <n v="12"/>
    <x v="2"/>
    <d v="2024-09-03T00:00:00"/>
    <d v="2024-09-16T00:00:00"/>
    <x v="10"/>
    <s v="تم التسليم محمود على "/>
    <x v="2"/>
  </r>
  <r>
    <s v="٤سرير فردى خشب موسكى الحديد ابيض مقاس ٨٠"/>
    <x v="0"/>
    <x v="2"/>
    <x v="4"/>
    <s v="احمد"/>
    <x v="0"/>
    <s v="القاهره الجديده"/>
    <x v="1"/>
    <x v="0"/>
    <s v="سرير"/>
    <s v="فردى"/>
    <s v="فورجينا"/>
    <n v="80"/>
    <s v="ابيض"/>
    <n v="7987"/>
    <s v="مسبق الدفع"/>
    <n v="10"/>
    <n v="15"/>
    <x v="1"/>
    <d v="2024-09-06T00:00:00"/>
    <d v="2024-09-16T00:00:00"/>
    <x v="11"/>
    <s v="تم التسليم محمود على "/>
    <x v="2"/>
  </r>
  <r>
    <s v="٢ فوتيه فنيسيا "/>
    <x v="4"/>
    <x v="2"/>
    <x v="2"/>
    <s v="تاكي"/>
    <x v="1"/>
    <s v="العباسيه"/>
    <x v="1"/>
    <x v="3"/>
    <s v="كرسى"/>
    <s v="فنسيا"/>
    <m/>
    <m/>
    <m/>
    <n v="9300"/>
    <s v="كاش"/>
    <n v="11"/>
    <n v="13"/>
    <x v="1"/>
    <d v="2024-09-04T00:00:00"/>
    <d v="2024-09-15T00:00:00"/>
    <x v="8"/>
    <s v="تم التسليم محمود على "/>
    <x v="2"/>
  </r>
  <r>
    <s v="٤سرير فردى خشب موسكى الحديد ابيض مقاس ٨٠"/>
    <x v="0"/>
    <x v="2"/>
    <x v="4"/>
    <s v="احمد"/>
    <x v="0"/>
    <s v="القاهره الجديده"/>
    <x v="1"/>
    <x v="0"/>
    <s v="سرير"/>
    <s v="فردى"/>
    <s v="فورجينا"/>
    <n v="80"/>
    <s v="ابيض"/>
    <n v="7987"/>
    <s v="مسبق الدفع"/>
    <n v="10"/>
    <n v="15"/>
    <x v="1"/>
    <d v="2024-09-06T00:00:00"/>
    <d v="2024-09-16T00:00:00"/>
    <x v="11"/>
    <s v="تم التسليم محمود على "/>
    <x v="2"/>
  </r>
  <r>
    <s v="٤سرير فردى خشب موسكى الحديد ابيض مقاس ٨٠"/>
    <x v="0"/>
    <x v="2"/>
    <x v="4"/>
    <s v="احمد"/>
    <x v="0"/>
    <s v="القاهره الجديده"/>
    <x v="1"/>
    <x v="0"/>
    <s v="سرير"/>
    <s v="فردى"/>
    <s v="فورجينا"/>
    <n v="80"/>
    <s v="ابيض"/>
    <n v="7987"/>
    <s v="مسبق الدفع"/>
    <n v="10"/>
    <n v="15"/>
    <x v="1"/>
    <d v="2024-09-06T00:00:00"/>
    <d v="2024-09-16T00:00:00"/>
    <x v="11"/>
    <s v="تم التسليم محمود على "/>
    <x v="2"/>
  </r>
  <r>
    <s v="٤سرير فردى خشب موسكى الحديد ابيض مقاس ٨٠"/>
    <x v="0"/>
    <x v="2"/>
    <x v="4"/>
    <s v="احمد"/>
    <x v="0"/>
    <s v="القاهره الجديده"/>
    <x v="1"/>
    <x v="0"/>
    <s v="سرير"/>
    <s v="فردى"/>
    <s v="فورجينا"/>
    <n v="80"/>
    <s v="ابيض"/>
    <n v="7987"/>
    <s v="مسبق الدفع"/>
    <n v="10"/>
    <n v="15"/>
    <x v="1"/>
    <d v="2024-09-06T00:00:00"/>
    <d v="2024-09-16T00:00:00"/>
    <x v="11"/>
    <s v="تم التسليم محمود على "/>
    <x v="2"/>
  </r>
  <r>
    <s v="سرير اسبانى ابيض ١٢٠"/>
    <x v="0"/>
    <x v="3"/>
    <x v="4"/>
    <s v="حسن حازم"/>
    <x v="0"/>
    <s v="٦ اكتوبر الجيزه "/>
    <x v="3"/>
    <x v="0"/>
    <s v="سرير"/>
    <s v="فردى"/>
    <s v="اسبانى"/>
    <n v="120"/>
    <s v="ابيض"/>
    <n v="10987"/>
    <s v="مسبق الدفع"/>
    <n v="8"/>
    <n v="12"/>
    <x v="1"/>
    <d v="2024-09-09T00:00:00"/>
    <d v="2024-09-17T00:00:00"/>
    <x v="11"/>
    <s v="تم التسليم محمود على "/>
    <x v="2"/>
  </r>
  <r>
    <s v="سرير كينج ابيض "/>
    <x v="0"/>
    <x v="4"/>
    <x v="4"/>
    <s v="شيك هومز"/>
    <x v="1"/>
    <m/>
    <x v="6"/>
    <x v="2"/>
    <s v="سرير"/>
    <s v="دورين"/>
    <s v="كينج"/>
    <n v="100"/>
    <s v="ابيض"/>
    <n v="9208"/>
    <s v="كاش"/>
    <n v="18"/>
    <n v="20"/>
    <x v="1"/>
    <d v="2024-09-01T00:00:00"/>
    <d v="2024-09-19T00:00:00"/>
    <x v="11"/>
    <s v="تم التسليم محمود على "/>
    <x v="2"/>
  </r>
  <r>
    <s v="سرير كينج اسود "/>
    <x v="0"/>
    <x v="4"/>
    <x v="3"/>
    <s v="شيك هومز"/>
    <x v="1"/>
    <m/>
    <x v="6"/>
    <x v="2"/>
    <s v="سرير"/>
    <s v="دورين"/>
    <s v="كينج"/>
    <n v="100"/>
    <s v="اسود"/>
    <n v="9208"/>
    <s v="كاش"/>
    <n v="18"/>
    <n v="20"/>
    <x v="1"/>
    <d v="2024-09-01T00:00:00"/>
    <d v="2024-09-19T00:00:00"/>
    <x v="11"/>
    <s v="تم التسليم محمود على "/>
    <x v="2"/>
  </r>
  <r>
    <s v="٢ سريرفورجينا خشب موسكى ابيض مقاس ١٢٠"/>
    <x v="0"/>
    <x v="5"/>
    <x v="4"/>
    <s v="اوسكار راتن"/>
    <x v="1"/>
    <s v="مخزن اوسكار في القناطر "/>
    <x v="7"/>
    <x v="4"/>
    <s v="سرير"/>
    <s v="فردى"/>
    <s v="فورجينا"/>
    <n v="120"/>
    <s v="ابيض"/>
    <n v="4020"/>
    <s v="حساب شركه"/>
    <n v="9"/>
    <n v="10"/>
    <x v="1"/>
    <d v="2024-09-12T00:00:00"/>
    <d v="2024-09-21T00:00:00"/>
    <x v="12"/>
    <s v="تم التسليم محمود على "/>
    <x v="2"/>
  </r>
  <r>
    <s v="٢ سريرفورجينا خشب موسكى ابيض مقاس ١٢٠"/>
    <x v="0"/>
    <x v="5"/>
    <x v="4"/>
    <s v="اوسكار راتن"/>
    <x v="1"/>
    <s v="مخزن اوسكار في القناطر "/>
    <x v="7"/>
    <x v="4"/>
    <s v="سرير"/>
    <s v="فردى"/>
    <s v="فورجينا"/>
    <n v="120"/>
    <s v="ابيض"/>
    <n v="4020"/>
    <s v="حساب شركه"/>
    <n v="9"/>
    <n v="10"/>
    <x v="1"/>
    <d v="2024-09-12T00:00:00"/>
    <d v="2024-09-21T00:00:00"/>
    <x v="12"/>
    <s v="تم التسليم محمود على "/>
    <x v="2"/>
  </r>
  <r>
    <s v="٢ سرير ارفيل ١٢٠ اسود "/>
    <x v="0"/>
    <x v="6"/>
    <x v="3"/>
    <s v="اوسكار راتن"/>
    <x v="1"/>
    <s v="مخزن اوسكار في القناطر "/>
    <x v="7"/>
    <x v="4"/>
    <s v="سرير"/>
    <s v="فردى"/>
    <s v="ارفيل"/>
    <n v="120"/>
    <s v="اسود"/>
    <n v="4020"/>
    <s v="مسبق الدفع"/>
    <n v="9"/>
    <n v="10"/>
    <x v="1"/>
    <d v="2024-09-12T00:00:00"/>
    <d v="2024-09-21T00:00:00"/>
    <x v="12"/>
    <s v="تم التسليم محمود على "/>
    <x v="2"/>
  </r>
  <r>
    <s v="٢ سرير ارفيل ١٢٠ اسود "/>
    <x v="0"/>
    <x v="6"/>
    <x v="3"/>
    <s v="اوسكار راتن"/>
    <x v="1"/>
    <s v="مخزن اوسكار في القناطر "/>
    <x v="7"/>
    <x v="4"/>
    <s v="سرير"/>
    <s v="فردى"/>
    <s v="ارفيل"/>
    <n v="120"/>
    <s v="اسود"/>
    <n v="4020"/>
    <s v="مسبق الدفع"/>
    <n v="9"/>
    <n v="10"/>
    <x v="1"/>
    <d v="2024-09-12T00:00:00"/>
    <d v="2024-09-21T00:00:00"/>
    <x v="12"/>
    <s v="تم التسليم محمود على "/>
    <x v="2"/>
  </r>
  <r>
    <s v="ترابيزه قهوه علويه برف سحاب "/>
    <x v="1"/>
    <x v="2"/>
    <x v="2"/>
    <s v="يوسف شناوى"/>
    <x v="0"/>
    <s v="الابراهيميه . الإسكندرية "/>
    <x v="4"/>
    <x v="0"/>
    <s v="تربيزه"/>
    <s v="رف سحاب"/>
    <m/>
    <m/>
    <m/>
    <n v="8349"/>
    <s v="مسبق الدفع"/>
    <n v="8"/>
    <n v="10"/>
    <x v="1"/>
    <d v="2024-09-14T00:00:00"/>
    <d v="2024-09-22T00:00:00"/>
    <x v="13"/>
    <s v="تم التسليم عن طريق شركه شحن"/>
    <x v="2"/>
  </r>
  <r>
    <s v="سرير منطبق اسود حديد وقماش"/>
    <x v="0"/>
    <x v="2"/>
    <x v="3"/>
    <s v="حاتم العيسوي"/>
    <x v="0"/>
    <s v="٦ اكتوبر الجيزه "/>
    <x v="3"/>
    <x v="0"/>
    <s v="سرير"/>
    <s v="منطبق"/>
    <m/>
    <m/>
    <s v="اسود"/>
    <n v="9399"/>
    <s v="مسبق الدفع"/>
    <n v="11"/>
    <n v="17"/>
    <x v="1"/>
    <d v="2024-09-13T00:00:00"/>
    <d v="2024-09-24T00:00:00"/>
    <x v="14"/>
    <s v="تم التسليم عن طريق شركه شحن"/>
    <x v="2"/>
  </r>
  <r>
    <s v="ترابيزه قهوه علويه جديده "/>
    <x v="1"/>
    <x v="2"/>
    <x v="2"/>
    <s v="رنا"/>
    <x v="0"/>
    <s v="القطاميه "/>
    <x v="1"/>
    <x v="0"/>
    <s v="تربيزه"/>
    <s v="2 ميكانزم"/>
    <m/>
    <m/>
    <m/>
    <n v="7849"/>
    <s v="كاش"/>
    <n v="14"/>
    <n v="0"/>
    <x v="0"/>
    <d v="2024-09-12T00:00:00"/>
    <d v="2024-09-26T00:00:00"/>
    <x v="0"/>
    <s v="تم التسليم عن طريق شركه شحن"/>
    <x v="2"/>
  </r>
  <r>
    <s v="سرير اسبانى اسود مقاس ١٢٠"/>
    <x v="0"/>
    <x v="3"/>
    <x v="3"/>
    <s v="اسراء ابو العنين"/>
    <x v="0"/>
    <s v="القاهره الجديده"/>
    <x v="1"/>
    <x v="0"/>
    <s v="سرير"/>
    <s v="فردى"/>
    <s v="اسبانى"/>
    <n v="120"/>
    <s v="اسود"/>
    <n v="7460"/>
    <s v="مسبق الدفع"/>
    <n v="13"/>
    <n v="20"/>
    <x v="1"/>
    <d v="2024-09-13T00:00:00"/>
    <d v="2024-09-26T00:00:00"/>
    <x v="15"/>
    <s v="تم التسليم محمود على "/>
    <x v="2"/>
  </r>
  <r>
    <s v="سرير كوين مقاس ١٤٠ دهبي ورمادى "/>
    <x v="0"/>
    <x v="7"/>
    <x v="1"/>
    <s v="وائل صادق"/>
    <x v="0"/>
    <s v="القاهره الجديده"/>
    <x v="1"/>
    <x v="0"/>
    <s v="سرير"/>
    <s v="فردى"/>
    <s v="كورين"/>
    <n v="140"/>
    <s v="دهبي"/>
    <n v="9528"/>
    <s v="مسبق الدفع"/>
    <n v="13"/>
    <n v="20"/>
    <x v="1"/>
    <d v="2024-09-13T00:00:00"/>
    <d v="2024-09-26T00:00:00"/>
    <x v="15"/>
    <s v="تم التسليم محمود على "/>
    <x v="2"/>
  </r>
  <r>
    <s v="سرير كيفنج ١٢٠ رمادى "/>
    <x v="0"/>
    <x v="0"/>
    <x v="1"/>
    <s v="حسن مغرب"/>
    <x v="0"/>
    <s v="٦ اكتوبر الجيزه "/>
    <x v="3"/>
    <x v="0"/>
    <s v="سرير"/>
    <s v="دورين"/>
    <s v="كيفنج"/>
    <n v="120"/>
    <s v="رمادى"/>
    <n v="12999"/>
    <s v="مسبق الدفع"/>
    <n v="13"/>
    <n v="18"/>
    <x v="1"/>
    <d v="2024-09-14T00:00:00"/>
    <d v="2024-09-27T00:00:00"/>
    <x v="16"/>
    <s v="تم التسليم محمود على "/>
    <x v="2"/>
  </r>
  <r>
    <s v="            ٢ سرير كيفنج ١٠٠ اسود "/>
    <x v="0"/>
    <x v="0"/>
    <x v="3"/>
    <s v="هشام بسيونى"/>
    <x v="0"/>
    <s v="حدايق الاهرام "/>
    <x v="3"/>
    <x v="0"/>
    <s v="سرير"/>
    <s v="دورين"/>
    <s v="كيفنج"/>
    <n v="100"/>
    <s v="اسود"/>
    <n v="11949"/>
    <s v="كاش"/>
    <n v="17"/>
    <n v="20"/>
    <x v="1"/>
    <d v="2024-09-12T00:00:00"/>
    <d v="2024-09-29T00:00:00"/>
    <x v="16"/>
    <s v="تم التسليم محمود على "/>
    <x v="2"/>
  </r>
  <r>
    <s v="            ٢ سرير كيفنج ١٠٠ اسود "/>
    <x v="0"/>
    <x v="0"/>
    <x v="3"/>
    <s v="هشام بسيونى"/>
    <x v="0"/>
    <s v="حدايق الاهرام "/>
    <x v="3"/>
    <x v="0"/>
    <s v="سرير"/>
    <s v="دورين"/>
    <s v="كيفنج"/>
    <n v="100"/>
    <s v="اسود"/>
    <n v="11949"/>
    <s v="كاش"/>
    <n v="17"/>
    <n v="20"/>
    <x v="1"/>
    <d v="2024-09-12T00:00:00"/>
    <d v="2024-09-29T00:00:00"/>
    <x v="16"/>
    <s v="تم التسليم محمود على "/>
    <x v="2"/>
  </r>
  <r>
    <s v="سرير ٣ ادوار ابيض مقاس ٨٠ ابيض "/>
    <x v="0"/>
    <x v="2"/>
    <x v="4"/>
    <s v="احمد"/>
    <x v="0"/>
    <s v="الشروق"/>
    <x v="1"/>
    <x v="0"/>
    <s v="سرير"/>
    <s v="ثلاثه ادوار"/>
    <s v="كيفنج"/>
    <n v="80"/>
    <s v="ابيض"/>
    <n v="16599"/>
    <s v="مسبق الدفع"/>
    <n v="17"/>
    <n v="20"/>
    <x v="1"/>
    <d v="2024-09-13T00:00:00"/>
    <d v="2024-09-30T00:00:00"/>
    <x v="15"/>
    <s v="تم التسليم محمود على "/>
    <x v="2"/>
  </r>
  <r>
    <s v="سرير كيفنج دورين مقاس ٨٠ ابيض "/>
    <x v="0"/>
    <x v="0"/>
    <x v="4"/>
    <s v="ساره وجيه"/>
    <x v="0"/>
    <s v="الغردقه "/>
    <x v="5"/>
    <x v="0"/>
    <s v="سرير"/>
    <s v="دورين"/>
    <s v="كيفنج"/>
    <n v="80"/>
    <s v="ابيض"/>
    <n v="10999"/>
    <s v="مسبق الدفع"/>
    <n v="17"/>
    <n v="33"/>
    <x v="1"/>
    <d v="2024-09-13T00:00:00"/>
    <d v="2024-09-30T00:00:00"/>
    <x v="17"/>
    <s v="تم التسليم عن طريق شركه شحن"/>
    <x v="2"/>
  </r>
  <r>
    <s v="سرير استيل ازرق مقاس ١٤٠"/>
    <x v="0"/>
    <x v="2"/>
    <x v="0"/>
    <s v="مها"/>
    <x v="0"/>
    <s v="لافيستا العين السخنه "/>
    <x v="2"/>
    <x v="0"/>
    <s v="سرير"/>
    <s v="دورين"/>
    <s v="كيفنج"/>
    <n v="140"/>
    <s v="ازرق"/>
    <n v="13099"/>
    <s v="مسبق الدفع"/>
    <n v="17"/>
    <n v="20"/>
    <x v="1"/>
    <d v="2024-09-13T00:00:00"/>
    <d v="2024-09-30T00:00:00"/>
    <x v="15"/>
    <s v="تم التسليم عن طريق شركه شحن"/>
    <x v="2"/>
  </r>
  <r>
    <s v="سرير كينج ١٢٠ بنفسجى "/>
    <x v="0"/>
    <x v="4"/>
    <x v="2"/>
    <s v="بسام الشربينى"/>
    <x v="0"/>
    <s v="٦ اكتوبر الجيزه "/>
    <x v="3"/>
    <x v="0"/>
    <s v="سرير"/>
    <s v="دورين"/>
    <s v="كينج"/>
    <n v="120"/>
    <s v="بنفسجى"/>
    <n v="13849"/>
    <s v="مسبق الدفع"/>
    <n v="17"/>
    <n v="37"/>
    <x v="1"/>
    <d v="2024-09-13T00:00:00"/>
    <d v="2024-09-30T00:00:00"/>
    <x v="18"/>
    <s v="تم التسليم محمود على "/>
    <x v="2"/>
  </r>
  <r>
    <s v="كنبه سرير ٤ حركه "/>
    <x v="0"/>
    <x v="2"/>
    <x v="2"/>
    <s v="هبه عبد الفتاح"/>
    <x v="0"/>
    <s v="القاهره الجديده "/>
    <x v="1"/>
    <x v="0"/>
    <s v="كنبة "/>
    <s v="4*1"/>
    <m/>
    <m/>
    <s v="اسود"/>
    <n v="21999"/>
    <s v="مسبق الدفع"/>
    <n v="17"/>
    <n v="0"/>
    <x v="0"/>
    <d v="2024-09-13T00:00:00"/>
    <d v="2024-09-30T00:00:00"/>
    <x v="0"/>
    <s v="تم التسليم محمود على "/>
    <x v="2"/>
  </r>
  <r>
    <s v="سرير كيفنج دورين مقاس ٨٠ ابيض "/>
    <x v="0"/>
    <x v="0"/>
    <x v="4"/>
    <s v="اسراء ابراهيم"/>
    <x v="0"/>
    <s v="٦ اكتوبر الجيزه "/>
    <x v="3"/>
    <x v="0"/>
    <s v="سرير"/>
    <s v="دورين"/>
    <s v="كيفنج"/>
    <n v="80"/>
    <s v="ابيض"/>
    <n v="10999"/>
    <s v="مسبق الدفع"/>
    <n v="17"/>
    <n v="32"/>
    <x v="1"/>
    <d v="2024-09-13T00:00:00"/>
    <d v="2024-09-30T00:00:00"/>
    <x v="19"/>
    <s v="تم التسليم محمود على "/>
    <x v="2"/>
  </r>
  <r>
    <s v="سرير ٣ ادوار اسود مقاس ٩٠ "/>
    <x v="0"/>
    <x v="2"/>
    <x v="3"/>
    <s v="طارق كمال"/>
    <x v="0"/>
    <s v="المعادى"/>
    <x v="1"/>
    <x v="0"/>
    <s v="سرير"/>
    <s v="ثلاثه ادوار"/>
    <s v="كيفنج"/>
    <n v="90"/>
    <s v="اسود"/>
    <n v="17249"/>
    <s v="مسبق الدفع"/>
    <n v="17"/>
    <n v="21"/>
    <x v="1"/>
    <d v="2024-09-13T00:00:00"/>
    <d v="2024-09-30T00:00:00"/>
    <x v="20"/>
    <s v="تم التسليم محمود على "/>
    <x v="2"/>
  </r>
  <r>
    <s v="تربيزه قهوه ٢ رافع"/>
    <x v="1"/>
    <x v="2"/>
    <x v="2"/>
    <s v="ديفد بهجت"/>
    <x v="0"/>
    <s v="فيصل الجيزه"/>
    <x v="3"/>
    <x v="0"/>
    <s v="تربيزه"/>
    <s v="2 ميكانزم"/>
    <m/>
    <m/>
    <m/>
    <n v="8349"/>
    <s v="مسبق الدفع"/>
    <n v="32"/>
    <n v="37"/>
    <x v="1"/>
    <d v="2024-09-14T00:00:00"/>
    <d v="2024-10-16T00:00:00"/>
    <x v="21"/>
    <s v="تم التسليم محمود على "/>
    <x v="2"/>
  </r>
  <r>
    <s v="ترابيزه قهوه متحركه "/>
    <x v="1"/>
    <x v="2"/>
    <x v="2"/>
    <s v="اياد"/>
    <x v="0"/>
    <s v="المقطم "/>
    <x v="1"/>
    <x v="0"/>
    <s v="تربيزه"/>
    <s v="بمكتبة"/>
    <m/>
    <m/>
    <m/>
    <n v="7849"/>
    <s v="مسبق الدفع"/>
    <n v="45"/>
    <n v="46"/>
    <x v="1"/>
    <d v="2024-09-14T00:00:00"/>
    <d v="2024-10-29T00:00:00"/>
    <x v="22"/>
    <s v="تم التسليم محمود على "/>
    <x v="2"/>
  </r>
  <r>
    <s v="سرير منطبق اسود حديد ومعدن "/>
    <x v="0"/>
    <x v="2"/>
    <x v="3"/>
    <s v="ميار خورشد"/>
    <x v="0"/>
    <s v="٦ اكتوبر الجيزه "/>
    <x v="3"/>
    <x v="0"/>
    <s v="سرير"/>
    <s v="منطبق"/>
    <m/>
    <m/>
    <s v="اسود"/>
    <n v="9399"/>
    <s v="مسبق الدفع"/>
    <n v="45"/>
    <n v="31"/>
    <x v="2"/>
    <d v="2024-09-14T00:00:00"/>
    <d v="2024-10-29T00:00:00"/>
    <x v="19"/>
    <s v="تم التسليم محمود على "/>
    <x v="2"/>
  </r>
  <r>
    <s v="سرير اسبانى  ١٤٠ اسود وبيج "/>
    <x v="0"/>
    <x v="3"/>
    <x v="3"/>
    <s v="عبد الله سيد"/>
    <x v="0"/>
    <s v="الشيخ زايد ٦ اكتوبر "/>
    <x v="3"/>
    <x v="0"/>
    <s v="سرير"/>
    <s v="فردى"/>
    <s v="اسبانى"/>
    <n v="140"/>
    <s v="اسود"/>
    <n v="11817"/>
    <s v="مسبق الدفع"/>
    <n v="45"/>
    <n v="31"/>
    <x v="2"/>
    <d v="2024-09-14T00:00:00"/>
    <d v="2024-10-29T00:00:00"/>
    <x v="19"/>
    <s v="تم التسليم محمود على "/>
    <x v="2"/>
  </r>
  <r>
    <s v="تربيزه قهوه مرتفعه برف سحاب "/>
    <x v="1"/>
    <x v="2"/>
    <x v="2"/>
    <s v="كينج سونا"/>
    <x v="0"/>
    <s v="الشروق"/>
    <x v="1"/>
    <x v="0"/>
    <s v="تربيزه"/>
    <s v="رف سحاب"/>
    <m/>
    <m/>
    <m/>
    <n v="8349"/>
    <s v="مسبق الدفع"/>
    <n v="45"/>
    <n v="35"/>
    <x v="2"/>
    <d v="2024-09-14T00:00:00"/>
    <d v="2024-10-29T00:00:00"/>
    <x v="23"/>
    <s v="تم التسليم محمود على "/>
    <x v="2"/>
  </r>
  <r>
    <s v="   ٢. سرير اسبانى ابيض ١٢٠"/>
    <x v="0"/>
    <x v="3"/>
    <x v="4"/>
    <s v="ساره"/>
    <x v="0"/>
    <s v="القاهره الجديده"/>
    <x v="1"/>
    <x v="0"/>
    <s v="سرير"/>
    <s v="فردى"/>
    <s v="اسبانى"/>
    <n v="120"/>
    <s v="ابيض"/>
    <n v="10987"/>
    <s v="مسبق الدفع"/>
    <n v="45"/>
    <n v="29"/>
    <x v="2"/>
    <d v="2024-09-14T00:00:00"/>
    <d v="2024-10-29T00:00:00"/>
    <x v="24"/>
    <s v="تم التسليم محمود على "/>
    <x v="2"/>
  </r>
  <r>
    <s v="   ٢. سرير اسبانى ابيض ١٢٠"/>
    <x v="0"/>
    <x v="3"/>
    <x v="4"/>
    <s v="ساره"/>
    <x v="0"/>
    <s v="القاهره الجديده"/>
    <x v="1"/>
    <x v="0"/>
    <s v="سرير"/>
    <s v="فردى"/>
    <s v="اسبانى"/>
    <n v="120"/>
    <s v="ابيض"/>
    <n v="10987"/>
    <s v="مسبق الدفع"/>
    <n v="45"/>
    <n v="29"/>
    <x v="2"/>
    <d v="2024-09-14T00:00:00"/>
    <d v="2024-10-29T00:00:00"/>
    <x v="24"/>
    <s v="تم التسليم محمود على "/>
    <x v="2"/>
  </r>
  <r>
    <s v="ترابيزه قهوه علويه جديده "/>
    <x v="1"/>
    <x v="2"/>
    <x v="2"/>
    <s v="احمد ايمن"/>
    <x v="0"/>
    <s v="العبور"/>
    <x v="7"/>
    <x v="0"/>
    <s v="تربيزه"/>
    <s v="2 ميكانزم"/>
    <m/>
    <m/>
    <m/>
    <n v="10319"/>
    <s v="مسبق الدفع"/>
    <n v="45"/>
    <n v="35"/>
    <x v="2"/>
    <d v="2024-09-14T00:00:00"/>
    <d v="2024-10-29T00:00:00"/>
    <x v="23"/>
    <s v="تم التسليم محمود على "/>
    <x v="2"/>
  </r>
  <r>
    <s v="سرير كيفنج دورين مقاس ١٢٠ رمادى "/>
    <x v="0"/>
    <x v="0"/>
    <x v="1"/>
    <s v="مصطفي غنيم"/>
    <x v="0"/>
    <s v="اسيوط "/>
    <x v="8"/>
    <x v="0"/>
    <s v="سرير"/>
    <s v="دورين"/>
    <s v="كيفنج"/>
    <n v="120"/>
    <s v="رمادى"/>
    <n v="12999"/>
    <s v="مسبق الدفع"/>
    <n v="67"/>
    <n v="33"/>
    <x v="2"/>
    <d v="2024-09-14T00:00:00"/>
    <d v="2024-11-20T00:00:00"/>
    <x v="25"/>
    <s v="تم التسليم عن طريق شركه شحن"/>
    <x v="2"/>
  </r>
  <r>
    <s v="سرير نوفال ١٠٠ رمادى "/>
    <x v="0"/>
    <x v="1"/>
    <x v="1"/>
    <s v="رامى"/>
    <x v="0"/>
    <s v="الشروق"/>
    <x v="1"/>
    <x v="0"/>
    <s v="سرير"/>
    <s v="دورين"/>
    <s v="نوفال"/>
    <n v="100"/>
    <s v="رمادى"/>
    <n v="12399"/>
    <s v="مسبق الدفع"/>
    <n v="67"/>
    <n v="17"/>
    <x v="2"/>
    <d v="2024-09-14T00:00:00"/>
    <d v="2024-11-20T00:00:00"/>
    <x v="26"/>
    <s v="تم التسليم عن طريق شركه شحن"/>
    <x v="2"/>
  </r>
  <r>
    <s v="كنبه سرير ٤ حركه "/>
    <x v="0"/>
    <x v="2"/>
    <x v="2"/>
    <s v="رحاب"/>
    <x v="0"/>
    <s v="القاهره الجديده"/>
    <x v="1"/>
    <x v="0"/>
    <s v="كنبة "/>
    <s v="4*1"/>
    <m/>
    <m/>
    <s v="اسود"/>
    <n v="21999"/>
    <s v="مسبق الدفع"/>
    <n v="67"/>
    <n v="25"/>
    <x v="2"/>
    <d v="2024-09-14T00:00:00"/>
    <d v="2024-11-20T00:00:00"/>
    <x v="27"/>
    <s v="تم التسليم محمود على "/>
    <x v="2"/>
  </r>
  <r>
    <s v="سرير نوفال مقاس ٨٠ ابيض "/>
    <x v="0"/>
    <x v="1"/>
    <x v="4"/>
    <s v="فؤاد المنسي"/>
    <x v="0"/>
    <s v="المقطم "/>
    <x v="1"/>
    <x v="0"/>
    <s v="سرير"/>
    <s v="دورين"/>
    <s v="نوفال"/>
    <n v="80"/>
    <s v="ابيض"/>
    <n v="10999"/>
    <s v="مسبق الدفع"/>
    <n v="67"/>
    <n v="32"/>
    <x v="2"/>
    <d v="2024-09-14T00:00:00"/>
    <d v="2024-11-20T00:00:00"/>
    <x v="17"/>
    <s v="تم التسليم محمود على "/>
    <x v="2"/>
  </r>
  <r>
    <s v="غير معروف/فارغ"/>
    <x v="5"/>
    <x v="2"/>
    <x v="2"/>
    <s v="mohannad"/>
    <x v="0"/>
    <s v="EL-Maadi"/>
    <x v="1"/>
    <x v="0"/>
    <s v="سرير"/>
    <s v="دورين"/>
    <s v="كيفنج"/>
    <n v="80"/>
    <s v="ابيض"/>
    <n v="10999"/>
    <s v="مسبق الدفع"/>
    <n v="66"/>
    <n v="31"/>
    <x v="2"/>
    <d v="2024-09-15T00:00:00"/>
    <d v="2024-11-20T00:00:00"/>
    <x v="17"/>
    <s v="تم التسليم محمود على "/>
    <x v="2"/>
  </r>
  <r>
    <s v="غير معروف/فارغ"/>
    <x v="5"/>
    <x v="2"/>
    <x v="2"/>
    <s v="mohannad"/>
    <x v="0"/>
    <s v="EL-Maadi"/>
    <x v="1"/>
    <x v="0"/>
    <s v="سرير"/>
    <s v="دورين"/>
    <s v="كيفنج"/>
    <n v="80"/>
    <s v="ابيض"/>
    <n v="10999"/>
    <s v="مسبق الدفع"/>
    <n v="66"/>
    <n v="31"/>
    <x v="2"/>
    <d v="2024-09-15T00:00:00"/>
    <d v="2024-11-20T00:00:00"/>
    <x v="17"/>
    <s v="تم التسليم محمود على "/>
    <x v="2"/>
  </r>
  <r>
    <s v="غير معروف/فارغ"/>
    <x v="5"/>
    <x v="2"/>
    <x v="2"/>
    <s v="Mohamed Ayman"/>
    <x v="0"/>
    <s v="Madinet Badr"/>
    <x v="1"/>
    <x v="0"/>
    <s v="كنبة "/>
    <s v="4*1"/>
    <m/>
    <m/>
    <s v="اسود"/>
    <n v="21999"/>
    <s v="مسبق الدفع"/>
    <n v="66"/>
    <n v="34"/>
    <x v="2"/>
    <d v="2024-09-15T00:00:00"/>
    <d v="2024-11-20T00:00:00"/>
    <x v="23"/>
    <s v="تم التسليم محمود على "/>
    <x v="2"/>
  </r>
  <r>
    <s v="غير معروف/فارغ"/>
    <x v="5"/>
    <x v="2"/>
    <x v="2"/>
    <s v="اسامه"/>
    <x v="0"/>
    <s v="العين السخنه"/>
    <x v="2"/>
    <x v="0"/>
    <s v="تربيزه"/>
    <s v="2 ميكانزم"/>
    <m/>
    <m/>
    <m/>
    <n v="7849"/>
    <s v="كاش"/>
    <n v="44"/>
    <n v="59"/>
    <x v="1"/>
    <d v="2024-09-16T00:00:00"/>
    <d v="2024-10-30T00:00:00"/>
    <x v="28"/>
    <s v="تم التسليم عن طريق شركه شحن"/>
    <x v="2"/>
  </r>
  <r>
    <s v="غير معروف/فارغ"/>
    <x v="5"/>
    <x v="2"/>
    <x v="2"/>
    <s v="اوسكار راتن"/>
    <x v="1"/>
    <s v="المخزن ابو الغيط "/>
    <x v="7"/>
    <x v="4"/>
    <s v="سرير"/>
    <s v="دورين"/>
    <s v="كيفنج"/>
    <n v="80"/>
    <s v="ابيض"/>
    <n v="5074"/>
    <s v="حساب شركه"/>
    <n v="14"/>
    <n v="21"/>
    <x v="1"/>
    <d v="2024-09-21T00:00:00"/>
    <d v="2024-10-05T00:00:00"/>
    <x v="29"/>
    <s v="تم التسليم محمود على "/>
    <x v="2"/>
  </r>
  <r>
    <s v="غير معروف/فارغ"/>
    <x v="5"/>
    <x v="2"/>
    <x v="2"/>
    <s v="تاكي"/>
    <x v="1"/>
    <s v="العباسيه"/>
    <x v="1"/>
    <x v="3"/>
    <s v="سرير"/>
    <s v="دورين"/>
    <s v="كينج"/>
    <n v="100"/>
    <s v="اسود وبنى"/>
    <n v="6250"/>
    <s v="حساب شركه"/>
    <n v="15"/>
    <n v="24"/>
    <x v="1"/>
    <d v="2024-09-23T00:00:00"/>
    <d v="2024-10-08T00:00:00"/>
    <x v="25"/>
    <s v="تم التسليم محمود على "/>
    <x v="2"/>
  </r>
  <r>
    <s v="غير معروف/فارغ"/>
    <x v="5"/>
    <x v="2"/>
    <x v="2"/>
    <s v="تاكي"/>
    <x v="1"/>
    <s v="العباسيه"/>
    <x v="1"/>
    <x v="3"/>
    <s v="سرير"/>
    <s v="دورين"/>
    <s v="كينج"/>
    <n v="100"/>
    <s v="اسود وبنى"/>
    <n v="6250"/>
    <s v="حساب شركه"/>
    <n v="15"/>
    <n v="24"/>
    <x v="1"/>
    <d v="2024-09-23T00:00:00"/>
    <d v="2024-10-08T00:00:00"/>
    <x v="25"/>
    <s v="تم التسليم محمود على "/>
    <x v="2"/>
  </r>
  <r>
    <s v="غير معروف/فارغ"/>
    <x v="5"/>
    <x v="2"/>
    <x v="2"/>
    <s v="ولاء بدوى"/>
    <x v="0"/>
    <s v="العباسيه"/>
    <x v="1"/>
    <x v="0"/>
    <s v="سرير"/>
    <s v="فردى"/>
    <s v="فورجينا"/>
    <n v="120"/>
    <s v="ابيض"/>
    <n v="8943"/>
    <s v="كاش"/>
    <n v="45"/>
    <n v="14"/>
    <x v="2"/>
    <d v="2024-09-26T00:00:00"/>
    <d v="2024-11-10T00:00:00"/>
    <x v="30"/>
    <s v="تم التسليم محمود على "/>
    <x v="2"/>
  </r>
  <r>
    <s v="غير معروف/فارغ"/>
    <x v="5"/>
    <x v="2"/>
    <x v="2"/>
    <s v="شيك هومز"/>
    <x v="1"/>
    <s v="التجمع"/>
    <x v="1"/>
    <x v="2"/>
    <s v="كنبة "/>
    <s v="4×1"/>
    <m/>
    <m/>
    <m/>
    <n v="14950"/>
    <s v="مسبق الدفع"/>
    <n v="18"/>
    <n v="17"/>
    <x v="2"/>
    <d v="2024-09-26T00:00:00"/>
    <d v="2024-10-14T00:00:00"/>
    <x v="24"/>
    <s v="تم التسليم محمود على "/>
    <x v="2"/>
  </r>
  <r>
    <s v="غير معروف/فارغ"/>
    <x v="5"/>
    <x v="2"/>
    <x v="2"/>
    <s v="شيك هومز"/>
    <x v="1"/>
    <m/>
    <x v="6"/>
    <x v="2"/>
    <s v="سرير"/>
    <s v="فردى"/>
    <s v="اسبانى"/>
    <n v="120"/>
    <s v="ابيض"/>
    <n v="7433"/>
    <s v="مسبق الدفع"/>
    <n v="21"/>
    <n v="22"/>
    <x v="1"/>
    <d v="2024-09-29T00:00:00"/>
    <d v="2024-10-20T00:00:00"/>
    <x v="21"/>
    <s v="تم التسليم محمود على "/>
    <x v="2"/>
  </r>
  <r>
    <s v="غير معروف/فارغ"/>
    <x v="5"/>
    <x v="2"/>
    <x v="2"/>
    <s v="اوسكار راتن"/>
    <x v="1"/>
    <s v="المخزن ابو الغيط "/>
    <x v="7"/>
    <x v="4"/>
    <s v="سرير"/>
    <s v="فردى"/>
    <s v="فورجينا"/>
    <n v="120"/>
    <s v="ابيض"/>
    <n v="4020"/>
    <s v="حساب شركه"/>
    <n v="13"/>
    <n v="13"/>
    <x v="2"/>
    <d v="2024-09-29T00:00:00"/>
    <d v="2024-10-12T00:00:00"/>
    <x v="29"/>
    <s v="تم التسليم محمود على "/>
    <x v="2"/>
  </r>
  <r>
    <s v="غير معروف/فارغ"/>
    <x v="5"/>
    <x v="2"/>
    <x v="2"/>
    <s v="الحج محمد السويس"/>
    <x v="0"/>
    <s v="السويس "/>
    <x v="2"/>
    <x v="5"/>
    <s v="سرير"/>
    <s v="دورين"/>
    <s v="فانتاستك"/>
    <n v="100"/>
    <s v="ملون"/>
    <n v="8544.9054400000005"/>
    <n v="0"/>
    <n v="8"/>
    <n v="8"/>
    <x v="2"/>
    <d v="2024-10-01T00:00:00"/>
    <d v="2024-10-09T00:00:00"/>
    <x v="27"/>
    <s v="تم التسليم بمعرفه الحج سيد "/>
    <x v="2"/>
  </r>
  <r>
    <s v="غير معروف/فارغ"/>
    <x v="5"/>
    <x v="2"/>
    <x v="2"/>
    <s v="الحج محمد السويس"/>
    <x v="0"/>
    <s v="السويس "/>
    <x v="2"/>
    <x v="5"/>
    <s v="سرير"/>
    <s v="منطبق"/>
    <m/>
    <m/>
    <s v="اسزد"/>
    <n v="4600"/>
    <n v="0"/>
    <n v="8"/>
    <n v="8"/>
    <x v="2"/>
    <d v="2024-10-01T00:00:00"/>
    <d v="2024-10-09T00:00:00"/>
    <x v="27"/>
    <s v="تم التسليم بمعرفه الحج سيد "/>
    <x v="2"/>
  </r>
  <r>
    <s v="غير معروف/فارغ"/>
    <x v="5"/>
    <x v="2"/>
    <x v="2"/>
    <s v="الحج محمد السويس"/>
    <x v="0"/>
    <s v="السويس "/>
    <x v="2"/>
    <x v="5"/>
    <s v="كنبة "/>
    <s v="فنيسيا"/>
    <m/>
    <m/>
    <s v="اسود"/>
    <n v="10000"/>
    <n v="0"/>
    <n v="8"/>
    <n v="8"/>
    <x v="2"/>
    <d v="2024-10-01T00:00:00"/>
    <d v="2024-10-09T00:00:00"/>
    <x v="27"/>
    <s v="تم التسليم بمعرفه الحج سيد "/>
    <x v="2"/>
  </r>
  <r>
    <s v="غير معروف/فارغ"/>
    <x v="5"/>
    <x v="2"/>
    <x v="2"/>
    <s v="الحج محمد السويس"/>
    <x v="0"/>
    <s v="السويس "/>
    <x v="2"/>
    <x v="5"/>
    <s v="شيزلونج"/>
    <m/>
    <m/>
    <m/>
    <s v="اسود"/>
    <n v="10000"/>
    <n v="0"/>
    <n v="8"/>
    <n v="8"/>
    <x v="2"/>
    <d v="2024-10-01T00:00:00"/>
    <d v="2024-10-09T00:00:00"/>
    <x v="27"/>
    <s v="تم التسليم بمعرفه الحج سيد "/>
    <x v="2"/>
  </r>
  <r>
    <s v="غير معروف/فارغ"/>
    <x v="5"/>
    <x v="2"/>
    <x v="2"/>
    <s v="شيك هومز"/>
    <x v="1"/>
    <s v="مخزن شيك هومز"/>
    <x v="9"/>
    <x v="2"/>
    <s v="كنبة "/>
    <s v="4×1"/>
    <m/>
    <m/>
    <s v="اسود "/>
    <n v="14550"/>
    <s v="مسبق الدفع"/>
    <n v="21"/>
    <n v="22"/>
    <x v="1"/>
    <d v="2024-10-08T00:00:00"/>
    <d v="2024-10-29T00:00:00"/>
    <x v="22"/>
    <s v="تم التسليم محمود على "/>
    <x v="2"/>
  </r>
  <r>
    <s v="غير معروف/فارغ"/>
    <x v="5"/>
    <x v="2"/>
    <x v="2"/>
    <s v="شيك هومز"/>
    <x v="1"/>
    <s v="أكتوبر "/>
    <x v="3"/>
    <x v="2"/>
    <s v="كنبة "/>
    <s v="4×1"/>
    <m/>
    <m/>
    <s v="اسود "/>
    <n v="14550"/>
    <s v="مسبق الدفع"/>
    <n v="22"/>
    <n v="8"/>
    <x v="2"/>
    <d v="2024-10-07T00:00:00"/>
    <d v="2024-10-29T00:00:00"/>
    <x v="19"/>
    <s v="تم التسليم محمود على "/>
    <x v="2"/>
  </r>
  <r>
    <s v="غير معروف/فارغ"/>
    <x v="5"/>
    <x v="2"/>
    <x v="2"/>
    <s v="شيك هومز"/>
    <x v="1"/>
    <m/>
    <x v="6"/>
    <x v="2"/>
    <s v="كنبة "/>
    <s v="4×1"/>
    <m/>
    <m/>
    <s v="اسود "/>
    <n v="14550"/>
    <s v="كاش"/>
    <n v="21"/>
    <n v="23"/>
    <x v="1"/>
    <d v="2024-10-10T00:00:00"/>
    <d v="2024-10-31T00:00:00"/>
    <x v="31"/>
    <s v="تم التسليم محمود على "/>
    <x v="2"/>
  </r>
  <r>
    <s v="غير معروف/فارغ"/>
    <x v="5"/>
    <x v="2"/>
    <x v="2"/>
    <s v="keira"/>
    <x v="0"/>
    <s v="القاهره الجديده "/>
    <x v="1"/>
    <x v="0"/>
    <s v="سرير"/>
    <s v="دورين"/>
    <s v="نوفال "/>
    <s v="١٤٠/١٠٠"/>
    <s v="بينك"/>
    <n v="12899"/>
    <s v="كاش"/>
    <n v="65"/>
    <n v="20"/>
    <x v="2"/>
    <d v="2024-10-13T00:00:00"/>
    <d v="2024-12-17T00:00:00"/>
    <x v="31"/>
    <s v="تم التسليم محمود على "/>
    <x v="2"/>
  </r>
  <r>
    <s v="غير معروف/فارغ"/>
    <x v="5"/>
    <x v="2"/>
    <x v="2"/>
    <s v="tarek"/>
    <x v="0"/>
    <s v="مصر الجديده"/>
    <x v="1"/>
    <x v="0"/>
    <s v="سرير"/>
    <s v="دورين"/>
    <s v="كيفنج"/>
    <n v="80"/>
    <s v="ابيض"/>
    <n v="10499"/>
    <s v="مسبق الدفع"/>
    <n v="64"/>
    <n v="5"/>
    <x v="2"/>
    <d v="2024-10-16T00:00:00"/>
    <d v="2024-12-19T00:00:00"/>
    <x v="21"/>
    <s v="تم التسليم محمود على "/>
    <x v="2"/>
  </r>
  <r>
    <s v="غير معروف/فارغ"/>
    <x v="5"/>
    <x v="2"/>
    <x v="2"/>
    <s v="reem"/>
    <x v="0"/>
    <s v="البطاش اسكندريه"/>
    <x v="4"/>
    <x v="0"/>
    <s v="سرير"/>
    <s v="دورين"/>
    <s v="نوفال"/>
    <s v="١٠٠/١٤٠"/>
    <s v="بينك"/>
    <n v="12899"/>
    <s v="مسبق الدفع"/>
    <n v="66"/>
    <n v="47"/>
    <x v="2"/>
    <d v="2024-10-17T00:00:00"/>
    <d v="2024-12-22T00:00:00"/>
    <x v="32"/>
    <s v="تم التسليم عن طريق شركه شحن"/>
    <x v="2"/>
  </r>
  <r>
    <s v="غير معروف/فارغ"/>
    <x v="5"/>
    <x v="2"/>
    <x v="2"/>
    <s v="هشام سامى"/>
    <x v="0"/>
    <s v="41 كومبوند جولدن جستس الدور 4 شقه 4"/>
    <x v="3"/>
    <x v="6"/>
    <s v="سرير"/>
    <s v="فردى"/>
    <s v="بلحه"/>
    <n v="140"/>
    <s v="نبيتى "/>
    <n v="5135"/>
    <s v="مسبق الدفع"/>
    <n v="28"/>
    <n v="25"/>
    <x v="2"/>
    <d v="2024-10-20T00:00:00"/>
    <d v="2024-11-17T00:00:00"/>
    <x v="28"/>
    <s v="تم التسليم محمود على "/>
    <x v="2"/>
  </r>
  <r>
    <s v="غير معروف/فارغ"/>
    <x v="5"/>
    <x v="2"/>
    <x v="2"/>
    <s v="شيك هومز"/>
    <x v="1"/>
    <s v="اكتوبر الجيزه"/>
    <x v="3"/>
    <x v="2"/>
    <s v="سرير"/>
    <s v="دورين"/>
    <s v="فانتستيك"/>
    <n v="100"/>
    <s v="الوان"/>
    <n v="12777.5"/>
    <s v="كاش"/>
    <n v="21"/>
    <n v="27"/>
    <x v="1"/>
    <d v="2024-10-22T00:00:00"/>
    <d v="2024-11-12T00:00:00"/>
    <x v="33"/>
    <s v="تم التسليم محمود على "/>
    <x v="2"/>
  </r>
  <r>
    <s v="غير معروف/فارغ"/>
    <x v="5"/>
    <x v="2"/>
    <x v="2"/>
    <s v="شيك هومز"/>
    <x v="1"/>
    <s v="اكتوبر الجيزه"/>
    <x v="3"/>
    <x v="2"/>
    <s v="سرير"/>
    <s v="دورين"/>
    <s v="فانتستيك"/>
    <n v="100"/>
    <s v="الوان"/>
    <n v="12777.5"/>
    <s v="كاش"/>
    <n v="21"/>
    <n v="27"/>
    <x v="1"/>
    <d v="2024-10-22T00:00:00"/>
    <d v="2024-11-12T00:00:00"/>
    <x v="33"/>
    <s v="تم التسليم محمود على "/>
    <x v="2"/>
  </r>
  <r>
    <s v="غير معروف/فارغ"/>
    <x v="5"/>
    <x v="2"/>
    <x v="2"/>
    <s v="فاطمه محمد"/>
    <x v="0"/>
    <s v="أكتوبر الجيزه"/>
    <x v="3"/>
    <x v="0"/>
    <s v="سرير"/>
    <s v="فردى"/>
    <s v="فورجينا"/>
    <n v="120"/>
    <s v="ابيض"/>
    <n v="8943"/>
    <s v="كاش"/>
    <n v="24"/>
    <n v="28"/>
    <x v="1"/>
    <d v="2024-10-21T00:00:00"/>
    <d v="2024-11-14T00:00:00"/>
    <x v="33"/>
    <s v="تم التسليم محمود على "/>
    <x v="2"/>
  </r>
  <r>
    <s v="غير معروف/فارغ"/>
    <x v="5"/>
    <x v="2"/>
    <x v="2"/>
    <s v="شيك هومز"/>
    <x v="1"/>
    <m/>
    <x v="6"/>
    <x v="2"/>
    <s v="كنبة "/>
    <s v="4×1"/>
    <m/>
    <m/>
    <s v="اسود"/>
    <n v="15516"/>
    <s v="مسبق الدفع"/>
    <n v="21"/>
    <n v="6"/>
    <x v="2"/>
    <d v="2024-10-24T00:00:00"/>
    <d v="2024-11-14T00:00:00"/>
    <x v="22"/>
    <s v="تم التسليم محمود على "/>
    <x v="2"/>
  </r>
  <r>
    <s v="غير معروف/فارغ"/>
    <x v="5"/>
    <x v="2"/>
    <x v="2"/>
    <s v="ساره"/>
    <x v="0"/>
    <s v="الشيخ زايد اكتوبر"/>
    <x v="3"/>
    <x v="0"/>
    <s v="سرير"/>
    <s v="دورين"/>
    <s v="كينج"/>
    <n v="90"/>
    <s v="اسود"/>
    <n v="11649"/>
    <s v="كاش"/>
    <n v="15"/>
    <n v="23"/>
    <x v="1"/>
    <d v="2024-10-26T00:00:00"/>
    <d v="2024-11-10T00:00:00"/>
    <x v="33"/>
    <s v="تم التسليم محمود على "/>
    <x v="2"/>
  </r>
  <r>
    <s v="غير معروف/فارغ"/>
    <x v="5"/>
    <x v="2"/>
    <x v="2"/>
    <s v="ساره"/>
    <x v="0"/>
    <s v="الشيخ زايد اكتوبر"/>
    <x v="3"/>
    <x v="0"/>
    <s v="سرير"/>
    <s v="دورين"/>
    <s v="كينج"/>
    <n v="90"/>
    <s v="اسود"/>
    <n v="11649"/>
    <s v="كاش"/>
    <n v="15"/>
    <n v="23"/>
    <x v="1"/>
    <d v="2024-10-26T00:00:00"/>
    <d v="2024-11-10T00:00:00"/>
    <x v="33"/>
    <s v="تم التسليم محمود على "/>
    <x v="2"/>
  </r>
  <r>
    <s v="غير معروف/فارغ"/>
    <x v="5"/>
    <x v="2"/>
    <x v="2"/>
    <s v="بولا هومزمارت"/>
    <x v="0"/>
    <s v="المعادى"/>
    <x v="1"/>
    <x v="0"/>
    <s v="سرير"/>
    <s v="فردى"/>
    <s v="اسبانى"/>
    <n v="100"/>
    <s v="ابيض"/>
    <n v="5100"/>
    <s v="كاش"/>
    <n v="14"/>
    <n v="24"/>
    <x v="1"/>
    <d v="2024-10-28T00:00:00"/>
    <d v="2024-11-11T00:00:00"/>
    <x v="34"/>
    <s v="تم التسليم محمود على "/>
    <x v="2"/>
  </r>
  <r>
    <s v="غير معروف/فارغ"/>
    <x v="5"/>
    <x v="2"/>
    <x v="2"/>
    <s v="بولا هومزمارت"/>
    <x v="0"/>
    <s v="المعادى"/>
    <x v="1"/>
    <x v="0"/>
    <s v="سرير"/>
    <s v="فردى"/>
    <s v="اسبانى"/>
    <n v="120"/>
    <s v="ابيض"/>
    <n v="5300"/>
    <s v="كاش"/>
    <n v="14"/>
    <n v="24"/>
    <x v="1"/>
    <d v="2024-10-28T00:00:00"/>
    <d v="2024-11-11T00:00:00"/>
    <x v="34"/>
    <s v="تم التسليم محمود على "/>
    <x v="2"/>
  </r>
  <r>
    <s v="غير معروف/فارغ"/>
    <x v="5"/>
    <x v="2"/>
    <x v="2"/>
    <s v="محمد شكرى"/>
    <x v="0"/>
    <s v="مدينتى"/>
    <x v="1"/>
    <x v="0"/>
    <s v="سرير"/>
    <s v="دورين"/>
    <s v="كيفنج"/>
    <n v="80"/>
    <s v="ابيض"/>
    <n v="12099"/>
    <s v="مسبق الدفع"/>
    <n v="15"/>
    <n v="16"/>
    <x v="1"/>
    <d v="2024-11-11T00:00:00"/>
    <d v="2024-11-26T00:00:00"/>
    <x v="35"/>
    <s v="تم التسليم محمود على "/>
    <x v="2"/>
  </r>
  <r>
    <s v="غير معروف/فارغ"/>
    <x v="5"/>
    <x v="2"/>
    <x v="2"/>
    <s v="شيك هومز"/>
    <x v="1"/>
    <s v="مخزن شيك هومز"/>
    <x v="9"/>
    <x v="2"/>
    <s v="كنبة "/>
    <s v="4×1"/>
    <s v="ارينا"/>
    <m/>
    <s v="اسود "/>
    <n v="15872"/>
    <s v="مسبق الدفع"/>
    <n v="25"/>
    <n v="6"/>
    <x v="2"/>
    <d v="2024-11-08T00:00:00"/>
    <d v="2024-12-03T00:00:00"/>
    <x v="28"/>
    <s v="تم التسليم محمود على "/>
    <x v="2"/>
  </r>
  <r>
    <s v="غير معروف/فارغ"/>
    <x v="5"/>
    <x v="2"/>
    <x v="2"/>
    <s v="منزلى"/>
    <x v="0"/>
    <s v="التجمع الخامس"/>
    <x v="1"/>
    <x v="6"/>
    <s v="سرير"/>
    <s v="فردى"/>
    <s v="فورجينا"/>
    <n v="120"/>
    <s v="ابيض"/>
    <n v="4520"/>
    <s v="حساب شركه"/>
    <n v="12"/>
    <n v="11"/>
    <x v="2"/>
    <d v="2024-11-10T00:00:00"/>
    <d v="2024-11-22T00:00:00"/>
    <x v="34"/>
    <s v="تم التسليم محمود على "/>
    <x v="2"/>
  </r>
  <r>
    <s v="غير معروف/فارغ"/>
    <x v="5"/>
    <x v="2"/>
    <x v="2"/>
    <s v="اوسكار راتن"/>
    <x v="1"/>
    <s v="المخزن ابو الغيط "/>
    <x v="7"/>
    <x v="4"/>
    <s v="سرير"/>
    <s v="دورين"/>
    <s v="كينج"/>
    <n v="90"/>
    <s v="اسود"/>
    <n v="5766"/>
    <s v="حساب شركه"/>
    <n v="14"/>
    <n v="13"/>
    <x v="2"/>
    <d v="2024-11-12T00:00:00"/>
    <d v="2024-11-26T00:00:00"/>
    <x v="36"/>
    <s v="تم التسليم محمود على "/>
    <x v="2"/>
  </r>
  <r>
    <s v="غير معروف/فارغ"/>
    <x v="5"/>
    <x v="2"/>
    <x v="2"/>
    <s v="حماده"/>
    <x v="0"/>
    <s v="المعادى"/>
    <x v="1"/>
    <x v="0"/>
    <s v="سرير"/>
    <s v="فردى"/>
    <s v="فورجينا"/>
    <n v="160"/>
    <s v="بنفسجى"/>
    <n v="11395"/>
    <s v="مسبق الدفع"/>
    <n v="12"/>
    <n v="15"/>
    <x v="1"/>
    <d v="2024-11-12T00:00:00"/>
    <d v="2024-11-24T00:00:00"/>
    <x v="35"/>
    <s v="تم التسليم محمود على "/>
    <x v="2"/>
  </r>
  <r>
    <s v="غير معروف/فارغ"/>
    <x v="5"/>
    <x v="2"/>
    <x v="2"/>
    <s v="صفاء عبد الباقي"/>
    <x v="0"/>
    <s v="التجمع الخامس"/>
    <x v="1"/>
    <x v="0"/>
    <s v="سرير"/>
    <s v="دورين"/>
    <s v="كينج "/>
    <n v="80"/>
    <s v="ابيض"/>
    <n v="12919"/>
    <s v="مسبق الدفع"/>
    <n v="16"/>
    <n v="13"/>
    <x v="2"/>
    <d v="2024-11-14T00:00:00"/>
    <d v="2024-11-30T00:00:00"/>
    <x v="35"/>
    <s v="تم التسليم محمود على "/>
    <x v="2"/>
  </r>
  <r>
    <s v="غير معروف/فارغ"/>
    <x v="5"/>
    <x v="2"/>
    <x v="2"/>
    <s v="اوسكار راتن"/>
    <x v="1"/>
    <s v="المخزن ابو الغيط "/>
    <x v="7"/>
    <x v="4"/>
    <s v="سرير "/>
    <s v="دورين"/>
    <s v="نوفال"/>
    <n v="120"/>
    <s v="رمادى"/>
    <n v="6376"/>
    <s v="حساب شركه"/>
    <n v="13"/>
    <n v="11"/>
    <x v="2"/>
    <d v="2024-11-14T00:00:00"/>
    <d v="2024-11-27T00:00:00"/>
    <x v="36"/>
    <s v="تم التسليم محمود على "/>
    <x v="2"/>
  </r>
  <r>
    <s v="غير معروف/فارغ"/>
    <x v="5"/>
    <x v="2"/>
    <x v="2"/>
    <s v="اوسكار راتن"/>
    <x v="1"/>
    <s v="المخزن"/>
    <x v="9"/>
    <x v="4"/>
    <s v="سرير"/>
    <s v="دورين "/>
    <s v="نوفال"/>
    <n v="90"/>
    <s v="اسود"/>
    <n v="5294"/>
    <s v="حساب شركه"/>
    <n v="13"/>
    <n v="11"/>
    <x v="2"/>
    <d v="2024-11-14T00:00:00"/>
    <d v="2024-11-27T00:00:00"/>
    <x v="36"/>
    <s v="تم التسليم محمود على "/>
    <x v="2"/>
  </r>
  <r>
    <s v="غير معروف/فارغ"/>
    <x v="5"/>
    <x v="2"/>
    <x v="2"/>
    <s v="رندا العامرى"/>
    <x v="0"/>
    <s v="٦ اكتوبر الجيزه "/>
    <x v="3"/>
    <x v="7"/>
    <s v="سرير "/>
    <s v="دورين "/>
    <s v="كيفنج "/>
    <n v="80"/>
    <s v="ابيض"/>
    <n v="7396"/>
    <s v="مسبق الدفع"/>
    <n v="11"/>
    <n v="9"/>
    <x v="2"/>
    <d v="2024-11-17T00:00:00"/>
    <d v="2024-11-28T00:00:00"/>
    <x v="37"/>
    <s v="تم التسليم محمود على "/>
    <x v="2"/>
  </r>
  <r>
    <s v="غير معروف/فارغ"/>
    <x v="5"/>
    <x v="2"/>
    <x v="2"/>
    <s v="ساره"/>
    <x v="0"/>
    <s v="٦ اكتوبر الجيزه"/>
    <x v="3"/>
    <x v="0"/>
    <s v="سرير"/>
    <s v="دورين"/>
    <s v="كينج"/>
    <n v="90"/>
    <s v="اسود"/>
    <n v="13439"/>
    <s v="كاش"/>
    <n v="15"/>
    <n v="6"/>
    <x v="2"/>
    <d v="2024-11-20T00:00:00"/>
    <d v="2024-12-05T00:00:00"/>
    <x v="37"/>
    <s v="تم التسليم محمود على "/>
    <x v="2"/>
  </r>
  <r>
    <s v="غير معروف/فارغ"/>
    <x v="5"/>
    <x v="2"/>
    <x v="2"/>
    <s v="محمد حمدى"/>
    <x v="0"/>
    <s v="مصر الجديده"/>
    <x v="1"/>
    <x v="1"/>
    <s v="سرير "/>
    <s v="فردى"/>
    <s v="كوين "/>
    <n v="160"/>
    <s v="دهبي"/>
    <n v="6000"/>
    <s v="كاش"/>
    <n v="10"/>
    <n v="5"/>
    <x v="2"/>
    <d v="2024-11-22T00:00:00"/>
    <d v="2024-12-02T00:00:00"/>
    <x v="35"/>
    <s v="تم التسليم محمود على "/>
    <x v="2"/>
  </r>
  <r>
    <s v="غير معروف/فارغ"/>
    <x v="5"/>
    <x v="2"/>
    <x v="2"/>
    <s v="بافلى هانى"/>
    <x v="0"/>
    <s v="شبرا "/>
    <x v="1"/>
    <x v="0"/>
    <s v="سرير"/>
    <s v="فردى "/>
    <s v="اسبانى "/>
    <n v="120"/>
    <s v="رمادى"/>
    <n v="10885"/>
    <s v="كاش"/>
    <n v="11"/>
    <n v="16"/>
    <x v="1"/>
    <d v="2024-11-24T00:00:00"/>
    <d v="2024-12-05T00:00:00"/>
    <x v="38"/>
    <s v="تم التسليم محمود على "/>
    <x v="2"/>
  </r>
  <r>
    <s v="غير معروف/فارغ"/>
    <x v="5"/>
    <x v="2"/>
    <x v="2"/>
    <s v="تاكي"/>
    <x v="1"/>
    <s v="العباسيه "/>
    <x v="1"/>
    <x v="3"/>
    <s v="كنبة "/>
    <s v="t1"/>
    <s v="t1"/>
    <m/>
    <m/>
    <n v="6000"/>
    <s v="كاش"/>
    <n v="16"/>
    <n v="1"/>
    <x v="2"/>
    <d v="2024-11-19T00:00:00"/>
    <d v="2024-12-05T00:00:00"/>
    <x v="39"/>
    <s v="تم التسليم م محمد "/>
    <x v="2"/>
  </r>
  <r>
    <s v="غير معروف/فارغ"/>
    <x v="5"/>
    <x v="2"/>
    <x v="2"/>
    <s v="رنا ميلاد"/>
    <x v="0"/>
    <s v="جليم الإسكندرية "/>
    <x v="4"/>
    <x v="0"/>
    <s v="تربيزه"/>
    <m/>
    <s v="مكتبه"/>
    <m/>
    <m/>
    <n v="8449"/>
    <s v="مسبق الدفع"/>
    <n v="13"/>
    <n v="26"/>
    <x v="1"/>
    <d v="2024-11-27T00:00:00"/>
    <d v="2024-12-10T00:00:00"/>
    <x v="40"/>
    <s v="تم التسليم عن طريق شركه شحن"/>
    <x v="2"/>
  </r>
  <r>
    <s v="غير معروف/فارغ"/>
    <x v="5"/>
    <x v="2"/>
    <x v="2"/>
    <s v="محمد ناجى"/>
    <x v="0"/>
    <s v="مدينه نصر "/>
    <x v="1"/>
    <x v="0"/>
    <s v="تربيزه"/>
    <s v="دوران "/>
    <s v="ميكانزم"/>
    <m/>
    <s v="ابيض"/>
    <n v="10249"/>
    <s v="كاش"/>
    <n v="13"/>
    <n v="22"/>
    <x v="1"/>
    <d v="2024-11-27T00:00:00"/>
    <d v="2024-12-10T00:00:00"/>
    <x v="41"/>
    <s v="تم التسليم محمود على "/>
    <x v="2"/>
  </r>
  <r>
    <s v="غير معروف/فارغ"/>
    <x v="5"/>
    <x v="2"/>
    <x v="2"/>
    <s v="اوسكار راتن"/>
    <x v="1"/>
    <s v="المخزن ابو الغيط "/>
    <x v="7"/>
    <x v="4"/>
    <s v="سرير"/>
    <s v="دورين "/>
    <s v="كيفنج "/>
    <n v="90"/>
    <s v="ازرق"/>
    <n v="5217"/>
    <s v="حساب شركه"/>
    <n v="13"/>
    <n v="9"/>
    <x v="2"/>
    <d v="2024-12-01T00:00:00"/>
    <d v="2024-12-14T00:00:00"/>
    <x v="38"/>
    <s v="تم التسليم محمود على "/>
    <x v="2"/>
  </r>
  <r>
    <s v="غير معروف/فارغ"/>
    <x v="5"/>
    <x v="2"/>
    <x v="2"/>
    <s v="محمد عادل"/>
    <x v="0"/>
    <s v="العبور"/>
    <x v="7"/>
    <x v="0"/>
    <s v="سرير "/>
    <s v="منطبق"/>
    <m/>
    <m/>
    <s v="اسود"/>
    <n v="10249"/>
    <s v="كاش"/>
    <n v="10"/>
    <n v="15"/>
    <x v="1"/>
    <d v="2024-12-04T00:00:00"/>
    <d v="2024-12-14T00:00:00"/>
    <x v="41"/>
    <s v="تم التسليم محمود على "/>
    <x v="2"/>
  </r>
  <r>
    <s v="غير معروف/فارغ"/>
    <x v="5"/>
    <x v="2"/>
    <x v="2"/>
    <s v="مريم عنان"/>
    <x v="0"/>
    <s v="اب تاون كايرو التجمع "/>
    <x v="1"/>
    <x v="2"/>
    <s v="سرير"/>
    <s v="دورين"/>
    <s v="كينج"/>
    <m/>
    <s v="اسود"/>
    <n v="10445"/>
    <s v="كاش"/>
    <n v="22"/>
    <n v="3"/>
    <x v="2"/>
    <d v="2024-12-09T00:00:00"/>
    <d v="2024-12-31T00:00:00"/>
    <x v="42"/>
    <s v="تم التسليم محمود على "/>
    <x v="2"/>
  </r>
  <r>
    <s v="غير معروف/فارغ"/>
    <x v="5"/>
    <x v="2"/>
    <x v="2"/>
    <s v="هبه عطيه"/>
    <x v="0"/>
    <s v="القاهره الجديده"/>
    <x v="1"/>
    <x v="0"/>
    <s v="تربيزه"/>
    <s v="دوران"/>
    <s v="ميكانزم"/>
    <m/>
    <s v="اسود "/>
    <n v="11199"/>
    <s v="كاش"/>
    <n v="12"/>
    <n v="7"/>
    <x v="2"/>
    <d v="2024-12-12T00:00:00"/>
    <d v="2024-12-24T00:00:00"/>
    <x v="41"/>
    <s v="تم التسليم محمود على "/>
    <x v="2"/>
  </r>
  <r>
    <s v="غير معروف/فارغ"/>
    <x v="5"/>
    <x v="2"/>
    <x v="2"/>
    <s v="حمدى ذكرى"/>
    <x v="0"/>
    <s v="٦ اكتوبر الجيزه"/>
    <x v="3"/>
    <x v="0"/>
    <s v="سرير "/>
    <s v="دورين"/>
    <s v="نوفال"/>
    <n v="80"/>
    <s v="اسود"/>
    <n v="13099"/>
    <s v="كاش"/>
    <n v="16"/>
    <n v="17"/>
    <x v="1"/>
    <d v="2024-12-12T00:00:00"/>
    <d v="2024-12-28T00:00:00"/>
    <x v="43"/>
    <s v="تم التسليم محمود على "/>
    <x v="2"/>
  </r>
  <r>
    <s v="غير معروف/فارغ"/>
    <x v="5"/>
    <x v="2"/>
    <x v="2"/>
    <s v="شيك هومز"/>
    <x v="1"/>
    <s v="مخزن شيك هومز"/>
    <x v="9"/>
    <x v="2"/>
    <s v="كنبة "/>
    <s v="4×1"/>
    <s v="ارينا"/>
    <m/>
    <s v="اسود "/>
    <n v="8700"/>
    <s v="حساب شركه"/>
    <n v="22"/>
    <n v="15"/>
    <x v="2"/>
    <d v="2024-12-14T00:00:00"/>
    <d v="2025-01-05T00:00:00"/>
    <x v="43"/>
    <s v="تم التسليم محمود على "/>
    <x v="2"/>
  </r>
  <r>
    <s v="٢ كنبه سحاره بمخدع"/>
    <x v="3"/>
    <x v="2"/>
    <x v="2"/>
    <s v="تاكي"/>
    <x v="1"/>
    <s v="العباسيه"/>
    <x v="1"/>
    <x v="3"/>
    <s v="كنبة "/>
    <s v="سحارة"/>
    <m/>
    <m/>
    <m/>
    <n v="16000"/>
    <s v="كاش"/>
    <n v="0"/>
    <n v="0"/>
    <x v="0"/>
    <m/>
    <m/>
    <x v="0"/>
    <s v="فشل التسليم"/>
    <x v="0"/>
  </r>
  <r>
    <s v="سرير فردى خشب موسكى الحديد ابيض مقاس ٨٠"/>
    <x v="0"/>
    <x v="2"/>
    <x v="4"/>
    <s v="احمد فخرى"/>
    <x v="0"/>
    <s v="٦ اكتوبر الجيزه "/>
    <x v="3"/>
    <x v="0"/>
    <s v="سرير"/>
    <s v="فردى"/>
    <s v="نوفال"/>
    <n v="80"/>
    <s v="ابيض"/>
    <n v="7295"/>
    <s v="كاش"/>
    <n v="9"/>
    <n v="0"/>
    <x v="0"/>
    <d v="2024-09-05T00:00:00"/>
    <d v="2024-09-14T00:00:00"/>
    <x v="0"/>
    <m/>
    <x v="0"/>
  </r>
  <r>
    <s v="سرير كينج ابيض مقاس ٨٠ التصميم الجديد "/>
    <x v="0"/>
    <x v="4"/>
    <x v="4"/>
    <s v="ellho elkafy"/>
    <x v="0"/>
    <s v="مدينه نصر "/>
    <x v="1"/>
    <x v="0"/>
    <s v="سرير"/>
    <s v="دورين"/>
    <s v="كينج"/>
    <n v="80"/>
    <s v="ابيض"/>
    <n v="11199"/>
    <s v="كاش"/>
    <n v="14"/>
    <n v="0"/>
    <x v="0"/>
    <d v="2024-09-04T00:00:00"/>
    <d v="2024-09-18T00:00:00"/>
    <x v="0"/>
    <m/>
    <x v="0"/>
  </r>
  <r>
    <s v="ترابيزه قهوه علويه جديده "/>
    <x v="1"/>
    <x v="2"/>
    <x v="2"/>
    <s v="صفاء"/>
    <x v="0"/>
    <s v="المعادى"/>
    <x v="1"/>
    <x v="0"/>
    <s v="تربيزه"/>
    <s v="2 ميكانزم"/>
    <m/>
    <m/>
    <m/>
    <n v="8849"/>
    <s v="مسبق الدفع"/>
    <n v="43"/>
    <n v="0"/>
    <x v="0"/>
    <d v="2024-09-03T00:00:00"/>
    <d v="2024-10-16T00:00:00"/>
    <x v="0"/>
    <m/>
    <x v="0"/>
  </r>
  <r>
    <s v="سرير نوفال  ٩٠ اسود "/>
    <x v="0"/>
    <x v="1"/>
    <x v="3"/>
    <s v="على السيد"/>
    <x v="0"/>
    <s v="الشروق القاهره "/>
    <x v="1"/>
    <x v="0"/>
    <s v="سرير"/>
    <s v="دورين"/>
    <s v="نوفال"/>
    <n v="90"/>
    <s v="اسود"/>
    <n v="5999"/>
    <s v="مسبق الدفع"/>
    <n v="17"/>
    <n v="0"/>
    <x v="0"/>
    <d v="2024-09-12T00:00:00"/>
    <d v="2024-09-29T00:00:00"/>
    <x v="0"/>
    <m/>
    <x v="0"/>
  </r>
  <r>
    <s v=" ٢. سرير فورجينا ابيض مقاس ١٢٠"/>
    <x v="0"/>
    <x v="5"/>
    <x v="4"/>
    <s v="احمد خالد"/>
    <x v="0"/>
    <s v="الرحاب"/>
    <x v="1"/>
    <x v="0"/>
    <s v="سرير"/>
    <s v="فردى"/>
    <s v="فورجينا"/>
    <n v="120"/>
    <s v="ابيض"/>
    <n v="17886"/>
    <s v="مسبق الدفع"/>
    <n v="45"/>
    <n v="0"/>
    <x v="0"/>
    <d v="2024-09-14T00:00:00"/>
    <d v="2024-10-29T00:00:00"/>
    <x v="0"/>
    <m/>
    <x v="0"/>
  </r>
  <r>
    <s v=" ٢. سرير فورجينا ابيض مقاس ١٢٠"/>
    <x v="0"/>
    <x v="5"/>
    <x v="4"/>
    <s v="احمد خالد"/>
    <x v="0"/>
    <s v="الرحاب"/>
    <x v="1"/>
    <x v="0"/>
    <s v="سرير"/>
    <s v="فردى"/>
    <s v="فورجينا"/>
    <n v="120"/>
    <s v="ابيض"/>
    <n v="17886"/>
    <s v="مسبق الدفع"/>
    <n v="45"/>
    <n v="0"/>
    <x v="0"/>
    <d v="2024-09-14T00:00:00"/>
    <d v="2024-10-29T00:00:00"/>
    <x v="0"/>
    <m/>
    <x v="0"/>
  </r>
  <r>
    <s v="كنبه سرير ٤ حركه "/>
    <x v="0"/>
    <x v="2"/>
    <x v="2"/>
    <s v="حسام عبدون"/>
    <x v="0"/>
    <s v="الغردقه"/>
    <x v="5"/>
    <x v="0"/>
    <s v="كنبة "/>
    <s v="4*1"/>
    <m/>
    <m/>
    <s v="اسود"/>
    <n v="21999"/>
    <s v="مسبق الدفع"/>
    <n v="67"/>
    <n v="0"/>
    <x v="0"/>
    <d v="2024-09-14T00:00:00"/>
    <d v="2024-11-20T00:00:00"/>
    <x v="0"/>
    <m/>
    <x v="0"/>
  </r>
  <r>
    <s v="غير معروف/فارغ"/>
    <x v="5"/>
    <x v="2"/>
    <x v="2"/>
    <s v="عبد الرحمن يسري"/>
    <x v="0"/>
    <s v="اكتوبر الجيزه"/>
    <x v="3"/>
    <x v="0"/>
    <s v="تربيزه"/>
    <s v="رف سحاب"/>
    <m/>
    <m/>
    <m/>
    <n v="8349"/>
    <s v="كاش"/>
    <n v="45"/>
    <n v="0"/>
    <x v="0"/>
    <d v="2024-09-26T00:00:00"/>
    <d v="2024-11-10T00:00:00"/>
    <x v="0"/>
    <m/>
    <x v="0"/>
  </r>
  <r>
    <s v="غير معروف/فارغ"/>
    <x v="5"/>
    <x v="2"/>
    <x v="2"/>
    <s v="شيك هومز"/>
    <x v="1"/>
    <m/>
    <x v="6"/>
    <x v="2"/>
    <s v="سرير"/>
    <s v="دورين"/>
    <s v="كينج"/>
    <n v="100"/>
    <s v="اسود "/>
    <n v="9208"/>
    <s v="كاش"/>
    <n v="18"/>
    <n v="0"/>
    <x v="0"/>
    <d v="2024-09-26T00:00:00"/>
    <d v="2024-10-14T00:00:00"/>
    <x v="0"/>
    <m/>
    <x v="0"/>
  </r>
  <r>
    <s v="غير معروف/فارغ"/>
    <x v="5"/>
    <x v="2"/>
    <x v="2"/>
    <s v="عمرو الأسود"/>
    <x v="0"/>
    <s v="الزمالك"/>
    <x v="1"/>
    <x v="0"/>
    <s v="سرير"/>
    <s v="منطبق"/>
    <m/>
    <m/>
    <s v="اسود"/>
    <n v="8899"/>
    <s v="كاش"/>
    <n v="45"/>
    <n v="0"/>
    <x v="0"/>
    <d v="2024-10-03T00:00:00"/>
    <d v="2024-11-17T00:00:00"/>
    <x v="0"/>
    <m/>
    <x v="0"/>
  </r>
  <r>
    <s v="غير معروف/فارغ"/>
    <x v="5"/>
    <x v="2"/>
    <x v="2"/>
    <s v="اوسكار راتن"/>
    <x v="1"/>
    <s v="المعرض مدينه نصر"/>
    <x v="1"/>
    <x v="4"/>
    <s v="سرير"/>
    <s v="دورين"/>
    <s v="فانتستيك"/>
    <n v="100"/>
    <s v="الوان"/>
    <n v="8544.91"/>
    <s v="حساب شركه"/>
    <n v="0"/>
    <n v="0"/>
    <x v="0"/>
    <d v="2024-10-22T00:00:00"/>
    <m/>
    <x v="0"/>
    <m/>
    <x v="0"/>
  </r>
  <r>
    <s v="غير معروف/فارغ"/>
    <x v="5"/>
    <x v="2"/>
    <x v="2"/>
    <s v="شيك هومز"/>
    <x v="1"/>
    <m/>
    <x v="6"/>
    <x v="2"/>
    <s v="سرير"/>
    <s v="دورين"/>
    <s v="كينج"/>
    <n v="100"/>
    <s v="اسود"/>
    <n v="10045"/>
    <s v="كاش"/>
    <n v="21"/>
    <n v="0"/>
    <x v="0"/>
    <d v="2024-10-26T00:00:00"/>
    <d v="2024-11-16T00:00:00"/>
    <x v="0"/>
    <m/>
    <x v="0"/>
  </r>
  <r>
    <s v="غير معروف/فارغ"/>
    <x v="5"/>
    <x v="2"/>
    <x v="2"/>
    <s v="تاكي"/>
    <x v="1"/>
    <s v="العباسيه "/>
    <x v="1"/>
    <x v="3"/>
    <s v="سرير"/>
    <s v="فردى "/>
    <s v="امريكى"/>
    <n v="160"/>
    <s v="اسود"/>
    <n v="5100"/>
    <s v="حساب شركه"/>
    <n v="24"/>
    <n v="0"/>
    <x v="0"/>
    <d v="2024-11-14T00:00:00"/>
    <d v="2024-12-08T00:00:00"/>
    <x v="0"/>
    <m/>
    <x v="0"/>
  </r>
  <r>
    <s v="غير معروف/فارغ"/>
    <x v="5"/>
    <x v="2"/>
    <x v="2"/>
    <s v="احمد عبد الستار"/>
    <x v="0"/>
    <s v="المندره اسكندريه"/>
    <x v="4"/>
    <x v="0"/>
    <s v="سرير"/>
    <s v="دورين"/>
    <s v="كيفنج"/>
    <n v="100"/>
    <s v="اسود"/>
    <n v="14905"/>
    <s v="مسبق الدفع"/>
    <n v="16"/>
    <n v="0"/>
    <x v="0"/>
    <d v="2024-11-29T00:00:00"/>
    <d v="2024-12-15T00:00:00"/>
    <x v="0"/>
    <s v="العميل رفض الاستلام"/>
    <x v="0"/>
  </r>
  <r>
    <s v="غير معروف/فارغ"/>
    <x v="5"/>
    <x v="2"/>
    <x v="2"/>
    <s v="نور"/>
    <x v="0"/>
    <s v="القاهره الجديده"/>
    <x v="1"/>
    <x v="0"/>
    <s v="تربيزه"/>
    <s v="دوران "/>
    <s v="ميكانزم"/>
    <m/>
    <s v="اسود "/>
    <n v="10249"/>
    <s v="مسبق الدفع"/>
    <n v="12"/>
    <n v="0"/>
    <x v="0"/>
    <d v="2024-11-30T00:00:00"/>
    <d v="2024-12-12T00:00:00"/>
    <x v="0"/>
    <m/>
    <x v="0"/>
  </r>
  <r>
    <s v="غير معروف/فارغ"/>
    <x v="5"/>
    <x v="2"/>
    <x v="2"/>
    <s v="نور"/>
    <x v="0"/>
    <s v="القاهره الجديده"/>
    <x v="1"/>
    <x v="0"/>
    <s v="تربيزه"/>
    <s v="رف سحاب"/>
    <m/>
    <m/>
    <s v="اسود"/>
    <n v="9029"/>
    <s v="مسبق الدفع"/>
    <n v="12"/>
    <n v="0"/>
    <x v="0"/>
    <d v="2024-11-30T00:00:00"/>
    <d v="2024-12-12T00:00:00"/>
    <x v="0"/>
    <m/>
    <x v="0"/>
  </r>
  <r>
    <s v="غير معروف/فارغ"/>
    <x v="5"/>
    <x v="2"/>
    <x v="2"/>
    <s v="تامر"/>
    <x v="0"/>
    <s v="العين السخنه"/>
    <x v="2"/>
    <x v="0"/>
    <s v="تربيزه"/>
    <s v="٢ ميكانزم"/>
    <m/>
    <m/>
    <s v="اسود "/>
    <n v="9029"/>
    <s v="مسبق الدفع"/>
    <n v="12"/>
    <n v="0"/>
    <x v="0"/>
    <d v="2024-11-30T00:00:00"/>
    <d v="2024-12-12T00:00:00"/>
    <x v="0"/>
    <m/>
    <x v="0"/>
  </r>
  <r>
    <s v="غير معروف/فارغ"/>
    <x v="5"/>
    <x v="2"/>
    <x v="2"/>
    <s v="هناء اسامه"/>
    <x v="0"/>
    <s v="القطاميه"/>
    <x v="1"/>
    <x v="0"/>
    <s v="سرير"/>
    <s v="دورين "/>
    <s v="نوفال"/>
    <n v="80"/>
    <s v="ابيض"/>
    <n v="12099"/>
    <s v="مسبق الدفع"/>
    <n v="15"/>
    <n v="0"/>
    <x v="0"/>
    <d v="2024-12-02T00:00:00"/>
    <d v="2024-12-17T00:00:00"/>
    <x v="0"/>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118814-E83E-4EF4-AA27-DB1F9FD4CD64}"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AX8:AY19" firstHeaderRow="1" firstDataRow="1" firstDataCol="1"/>
  <pivotFields count="26">
    <pivotField showAll="0"/>
    <pivotField showAll="0"/>
    <pivotField showAll="0"/>
    <pivotField showAll="0"/>
    <pivotField showAll="0"/>
    <pivotField showAll="0"/>
    <pivotField showAll="0"/>
    <pivotField axis="axisRow" dataField="1" showAll="0" sortType="descending">
      <items count="13">
        <item m="1" x="10"/>
        <item x="9"/>
        <item x="6"/>
        <item x="8"/>
        <item x="4"/>
        <item x="5"/>
        <item x="3"/>
        <item x="2"/>
        <item x="1"/>
        <item x="7"/>
        <item x="0"/>
        <item m="1"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5">
        <item h="1" x="2"/>
        <item h="1" x="3"/>
        <item h="1" x="6"/>
        <item h="1" x="4"/>
        <item h="1" x="5"/>
        <item h="1" x="9"/>
        <item h="1" x="7"/>
        <item h="1" x="10"/>
        <item h="1" x="8"/>
        <item h="1" x="11"/>
        <item h="1" x="12"/>
        <item h="1" x="13"/>
        <item h="1" x="1"/>
        <item h="1" x="14"/>
        <item h="1" x="26"/>
        <item h="1" x="16"/>
        <item h="1" x="15"/>
        <item h="1" x="20"/>
        <item h="1" x="27"/>
        <item h="1" x="30"/>
        <item h="1" x="29"/>
        <item h="1" x="24"/>
        <item h="1" x="19"/>
        <item h="1" x="17"/>
        <item h="1" x="25"/>
        <item h="1" x="23"/>
        <item h="1" x="18"/>
        <item h="1" x="21"/>
        <item h="1" x="22"/>
        <item h="1" x="31"/>
        <item h="1" x="28"/>
        <item h="1" x="33"/>
        <item h="1" x="39"/>
        <item h="1" x="34"/>
        <item h="1" x="36"/>
        <item h="1" x="37"/>
        <item h="1" x="35"/>
        <item h="1" x="32"/>
        <item h="1" x="38"/>
        <item h="1" x="42"/>
        <item h="1" x="41"/>
        <item h="1" x="40"/>
        <item h="1" x="43"/>
        <item x="0"/>
        <item t="default"/>
      </items>
    </pivotField>
    <pivotField showAll="0"/>
    <pivotField multipleItemSelectionAllowe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1">
    <i>
      <x v="8"/>
    </i>
    <i>
      <x v="6"/>
    </i>
    <i>
      <x v="9"/>
    </i>
    <i>
      <x v="2"/>
    </i>
    <i>
      <x v="7"/>
    </i>
    <i>
      <x v="4"/>
    </i>
    <i>
      <x v="1"/>
    </i>
    <i>
      <x v="5"/>
    </i>
    <i>
      <x v="10"/>
    </i>
    <i>
      <x v="3"/>
    </i>
    <i t="grand">
      <x/>
    </i>
  </rowItems>
  <colItems count="1">
    <i/>
  </colItems>
  <dataFields count="1">
    <dataField name="Count of المحافظة" fld="7" subtotal="count" baseField="0" baseItem="0"/>
  </dataFields>
  <formats count="6">
    <format dxfId="23">
      <pivotArea type="all" dataOnly="0" outline="0" fieldPosition="0"/>
    </format>
    <format dxfId="22">
      <pivotArea outline="0" collapsedLevelsAreSubtotals="1" fieldPosition="0"/>
    </format>
    <format dxfId="21">
      <pivotArea field="7" type="button" dataOnly="0" labelOnly="1" outline="0" axis="axisRow" fieldPosition="0"/>
    </format>
    <format dxfId="20">
      <pivotArea dataOnly="0" labelOnly="1" fieldPosition="0">
        <references count="1">
          <reference field="7" count="0"/>
        </references>
      </pivotArea>
    </format>
    <format dxfId="19">
      <pivotArea dataOnly="0" labelOnly="1" grandRow="1" outline="0" fieldPosition="0"/>
    </format>
    <format dxfId="18">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01F54F-AF86-4DF3-83CB-FFACAD16F3D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BD8:BE11" firstHeaderRow="1" firstDataRow="1" firstDataCol="1"/>
  <pivotFields count="26">
    <pivotField showAll="0"/>
    <pivotField showAll="0"/>
    <pivotField showAll="0"/>
    <pivotField showAll="0"/>
    <pivotField showAll="0"/>
    <pivotField axis="axisRow" dataField="1" showAll="0">
      <items count="4">
        <item x="0"/>
        <item x="1"/>
        <item m="1" x="2"/>
        <item t="default"/>
      </items>
    </pivotField>
    <pivotField showAll="0"/>
    <pivotField showAll="0">
      <items count="13">
        <item m="1" x="10"/>
        <item x="9"/>
        <item x="6"/>
        <item x="8"/>
        <item x="4"/>
        <item x="5"/>
        <item x="3"/>
        <item x="2"/>
        <item x="1"/>
        <item x="7"/>
        <item x="0"/>
        <item m="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5">
        <item h="1" x="2"/>
        <item h="1" x="3"/>
        <item h="1" x="6"/>
        <item h="1" x="4"/>
        <item h="1" x="5"/>
        <item h="1" x="9"/>
        <item h="1" x="7"/>
        <item h="1" x="10"/>
        <item h="1" x="8"/>
        <item h="1" x="11"/>
        <item h="1" x="12"/>
        <item h="1" x="13"/>
        <item h="1" x="1"/>
        <item h="1" x="14"/>
        <item h="1" x="26"/>
        <item h="1" x="16"/>
        <item h="1" x="15"/>
        <item h="1" x="20"/>
        <item h="1" x="27"/>
        <item h="1" x="30"/>
        <item h="1" x="29"/>
        <item h="1" x="24"/>
        <item h="1" x="19"/>
        <item h="1" x="17"/>
        <item h="1" x="25"/>
        <item h="1" x="23"/>
        <item h="1" x="18"/>
        <item h="1" x="21"/>
        <item h="1" x="22"/>
        <item h="1" x="31"/>
        <item h="1" x="28"/>
        <item h="1" x="33"/>
        <item h="1" x="39"/>
        <item h="1" x="34"/>
        <item h="1" x="36"/>
        <item h="1" x="37"/>
        <item h="1" x="35"/>
        <item h="1" x="32"/>
        <item h="1" x="38"/>
        <item h="1" x="42"/>
        <item h="1" x="41"/>
        <item h="1" x="40"/>
        <item h="1" x="43"/>
        <item x="0"/>
        <item t="default"/>
      </items>
    </pivotField>
    <pivotField showAll="0"/>
    <pivotField multipleItemSelectionAllowe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3">
    <i>
      <x/>
    </i>
    <i>
      <x v="1"/>
    </i>
    <i t="grand">
      <x/>
    </i>
  </rowItems>
  <colItems count="1">
    <i/>
  </colItems>
  <dataFields count="1">
    <dataField name="Count of نوع العميل" fld="5" subtotal="count" baseField="0" baseItem="0"/>
  </dataFields>
  <formats count="5">
    <format dxfId="28">
      <pivotArea type="all" dataOnly="0" outline="0" fieldPosition="0"/>
    </format>
    <format dxfId="27">
      <pivotArea outline="0" collapsedLevelsAreSubtotals="1" fieldPosition="0"/>
    </format>
    <format dxfId="26">
      <pivotArea field="7" type="button" dataOnly="0" labelOnly="1" outline="0"/>
    </format>
    <format dxfId="25">
      <pivotArea dataOnly="0" labelOnly="1" grandRow="1" outline="0" fieldPosition="0"/>
    </format>
    <format dxfId="24">
      <pivotArea dataOnly="0" labelOnly="1" outline="0" axis="axisValues"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ED017E-FA06-4180-8CF5-2D9DDCA589B8}"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AL8:AM12" firstHeaderRow="1" firstDataRow="1" firstDataCol="1"/>
  <pivotFields count="26">
    <pivotField showAll="0"/>
    <pivotField dataField="1" showAll="0"/>
    <pivotField showAll="0"/>
    <pivotField showAll="0"/>
    <pivotField showAll="0"/>
    <pivotField showAll="0"/>
    <pivotField showAll="0"/>
    <pivotField showAll="0">
      <items count="13">
        <item m="1" x="10"/>
        <item x="9"/>
        <item x="6"/>
        <item x="8"/>
        <item x="4"/>
        <item x="5"/>
        <item x="3"/>
        <item x="2"/>
        <item x="1"/>
        <item x="7"/>
        <item x="0"/>
        <item m="1" x="11"/>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m="1" x="3"/>
        <item x="2"/>
        <item x="1"/>
        <item x="0"/>
        <item t="default"/>
      </items>
    </pivotField>
    <pivotField showAll="0"/>
    <pivotField showAll="0"/>
    <pivotField showAll="0">
      <items count="45">
        <item h="1" x="2"/>
        <item h="1" x="3"/>
        <item h="1" x="6"/>
        <item h="1" x="4"/>
        <item h="1" x="5"/>
        <item h="1" x="9"/>
        <item h="1" x="7"/>
        <item h="1" x="10"/>
        <item h="1" x="8"/>
        <item h="1" x="11"/>
        <item h="1" x="12"/>
        <item h="1" x="13"/>
        <item h="1" x="1"/>
        <item h="1" x="14"/>
        <item h="1" x="26"/>
        <item h="1" x="16"/>
        <item h="1" x="15"/>
        <item h="1" x="20"/>
        <item h="1" x="27"/>
        <item h="1" x="30"/>
        <item h="1" x="29"/>
        <item h="1" x="24"/>
        <item h="1" x="19"/>
        <item h="1" x="17"/>
        <item h="1" x="25"/>
        <item h="1" x="23"/>
        <item h="1" x="18"/>
        <item h="1" x="21"/>
        <item h="1" x="22"/>
        <item h="1" x="31"/>
        <item h="1" x="28"/>
        <item h="1" x="33"/>
        <item h="1" x="39"/>
        <item h="1" x="34"/>
        <item h="1" x="36"/>
        <item h="1" x="37"/>
        <item h="1" x="35"/>
        <item h="1" x="32"/>
        <item h="1" x="38"/>
        <item h="1" x="42"/>
        <item h="1" x="41"/>
        <item h="1" x="40"/>
        <item h="1" x="43"/>
        <item x="0"/>
        <item t="default"/>
      </items>
    </pivotField>
    <pivotField showAll="0"/>
    <pivotField multipleItemSelectionAllowe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4">
    <i>
      <x v="1"/>
    </i>
    <i>
      <x v="2"/>
    </i>
    <i>
      <x v="3"/>
    </i>
    <i t="grand">
      <x/>
    </i>
  </rowItems>
  <colItems count="1">
    <i/>
  </colItems>
  <dataFields count="1">
    <dataField name="Count of الصنف" fld="1" subtotal="count" showDataAs="percentOfCol" baseField="0" baseItem="0" numFmtId="10"/>
  </dataFields>
  <formats count="6">
    <format dxfId="34">
      <pivotArea type="all" dataOnly="0" outline="0" fieldPosition="0"/>
    </format>
    <format dxfId="33">
      <pivotArea outline="0" collapsedLevelsAreSubtotals="1" fieldPosition="0"/>
    </format>
    <format dxfId="32">
      <pivotArea field="18" type="button" dataOnly="0" labelOnly="1" outline="0" axis="axisRow" fieldPosition="0"/>
    </format>
    <format dxfId="31">
      <pivotArea dataOnly="0" labelOnly="1" fieldPosition="0">
        <references count="1">
          <reference field="18" count="0"/>
        </references>
      </pivotArea>
    </format>
    <format dxfId="30">
      <pivotArea dataOnly="0" labelOnly="1" grandRow="1" outline="0" fieldPosition="0"/>
    </format>
    <format dxfId="29">
      <pivotArea dataOnly="0" labelOnly="1" outline="0" axis="axisValues" fieldPosition="0"/>
    </format>
  </formats>
  <chartFormats count="12">
    <chartFormat chart="10" format="33" series="1">
      <pivotArea type="data" outline="0" fieldPosition="0">
        <references count="1">
          <reference field="4294967294" count="1" selected="0">
            <x v="0"/>
          </reference>
        </references>
      </pivotArea>
    </chartFormat>
    <chartFormat chart="10" format="34">
      <pivotArea type="data" outline="0" fieldPosition="0">
        <references count="2">
          <reference field="4294967294" count="1" selected="0">
            <x v="0"/>
          </reference>
          <reference field="18" count="1" selected="0">
            <x v="1"/>
          </reference>
        </references>
      </pivotArea>
    </chartFormat>
    <chartFormat chart="10" format="35">
      <pivotArea type="data" outline="0" fieldPosition="0">
        <references count="2">
          <reference field="4294967294" count="1" selected="0">
            <x v="0"/>
          </reference>
          <reference field="18" count="1" selected="0">
            <x v="2"/>
          </reference>
        </references>
      </pivotArea>
    </chartFormat>
    <chartFormat chart="10" format="36">
      <pivotArea type="data" outline="0" fieldPosition="0">
        <references count="2">
          <reference field="4294967294" count="1" selected="0">
            <x v="0"/>
          </reference>
          <reference field="18" count="1" selected="0">
            <x v="3"/>
          </reference>
        </references>
      </pivotArea>
    </chartFormat>
    <chartFormat chart="11" format="37" series="1">
      <pivotArea type="data" outline="0" fieldPosition="0">
        <references count="1">
          <reference field="4294967294" count="1" selected="0">
            <x v="0"/>
          </reference>
        </references>
      </pivotArea>
    </chartFormat>
    <chartFormat chart="11" format="38">
      <pivotArea type="data" outline="0" fieldPosition="0">
        <references count="2">
          <reference field="4294967294" count="1" selected="0">
            <x v="0"/>
          </reference>
          <reference field="18" count="1" selected="0">
            <x v="1"/>
          </reference>
        </references>
      </pivotArea>
    </chartFormat>
    <chartFormat chart="11" format="39">
      <pivotArea type="data" outline="0" fieldPosition="0">
        <references count="2">
          <reference field="4294967294" count="1" selected="0">
            <x v="0"/>
          </reference>
          <reference field="18" count="1" selected="0">
            <x v="2"/>
          </reference>
        </references>
      </pivotArea>
    </chartFormat>
    <chartFormat chart="11" format="40">
      <pivotArea type="data" outline="0" fieldPosition="0">
        <references count="2">
          <reference field="4294967294" count="1" selected="0">
            <x v="0"/>
          </reference>
          <reference field="18" count="1" selected="0">
            <x v="3"/>
          </reference>
        </references>
      </pivotArea>
    </chartFormat>
    <chartFormat chart="4" format="41" series="1">
      <pivotArea type="data" outline="0" fieldPosition="0">
        <references count="1">
          <reference field="4294967294" count="1" selected="0">
            <x v="0"/>
          </reference>
        </references>
      </pivotArea>
    </chartFormat>
    <chartFormat chart="4" format="42">
      <pivotArea type="data" outline="0" fieldPosition="0">
        <references count="2">
          <reference field="4294967294" count="1" selected="0">
            <x v="0"/>
          </reference>
          <reference field="18" count="1" selected="0">
            <x v="1"/>
          </reference>
        </references>
      </pivotArea>
    </chartFormat>
    <chartFormat chart="4" format="43">
      <pivotArea type="data" outline="0" fieldPosition="0">
        <references count="2">
          <reference field="4294967294" count="1" selected="0">
            <x v="0"/>
          </reference>
          <reference field="18" count="1" selected="0">
            <x v="2"/>
          </reference>
        </references>
      </pivotArea>
    </chartFormat>
    <chartFormat chart="4" format="44">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EC4452-F7BE-4520-9456-1A493D3030A6}"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8:C15" firstHeaderRow="1" firstDataRow="1" firstDataCol="1" rowPageCount="1" colPageCount="1"/>
  <pivotFields count="26">
    <pivotField showAll="0"/>
    <pivotField axis="axisRow" showAll="0">
      <items count="7">
        <item x="1"/>
        <item x="2"/>
        <item x="0"/>
        <item x="5"/>
        <item x="4"/>
        <item x="3"/>
        <item t="default"/>
      </items>
    </pivotField>
    <pivotField showAll="0"/>
    <pivotField showAll="0"/>
    <pivotField showAll="0"/>
    <pivotField showAll="0"/>
    <pivotField showAll="0"/>
    <pivotField showAll="0">
      <items count="13">
        <item m="1" x="10"/>
        <item x="9"/>
        <item x="6"/>
        <item x="8"/>
        <item x="4"/>
        <item x="5"/>
        <item x="3"/>
        <item x="2"/>
        <item x="1"/>
        <item x="7"/>
        <item x="0"/>
        <item m="1" x="1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45">
        <item x="2"/>
        <item x="3"/>
        <item x="6"/>
        <item x="4"/>
        <item x="5"/>
        <item x="9"/>
        <item x="7"/>
        <item x="10"/>
        <item x="8"/>
        <item x="11"/>
        <item x="12"/>
        <item x="13"/>
        <item x="1"/>
        <item x="14"/>
        <item x="26"/>
        <item x="16"/>
        <item x="15"/>
        <item x="20"/>
        <item x="27"/>
        <item x="30"/>
        <item x="29"/>
        <item x="24"/>
        <item x="19"/>
        <item x="17"/>
        <item x="25"/>
        <item x="23"/>
        <item x="18"/>
        <item x="21"/>
        <item x="22"/>
        <item x="31"/>
        <item x="28"/>
        <item x="33"/>
        <item x="39"/>
        <item x="34"/>
        <item x="36"/>
        <item x="37"/>
        <item x="35"/>
        <item x="32"/>
        <item x="38"/>
        <item x="42"/>
        <item x="41"/>
        <item x="40"/>
        <item x="43"/>
        <item x="0"/>
        <item t="default"/>
      </items>
    </pivotField>
    <pivotField showAll="0"/>
    <pivotField axis="axisPage" multipleItemSelectionAllowed="1" showAll="0">
      <items count="5">
        <item x="2"/>
        <item h="1" x="1"/>
        <item h="1" x="0"/>
        <item h="1" m="1"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pageFields count="1">
    <pageField fld="23" hier="-1"/>
  </pageFields>
  <dataFields count="1">
    <dataField name="Sum of سعر البيع " fld="14" baseField="0" baseItem="0" numFmtId="1"/>
  </dataFields>
  <formats count="8">
    <format dxfId="42">
      <pivotArea dataOnly="0" labelOnly="1" outline="0" fieldPosition="0">
        <references count="1">
          <reference field="23" count="0"/>
        </references>
      </pivotArea>
    </format>
    <format dxfId="41">
      <pivotArea outline="0" collapsedLevelsAreSubtotals="1" fieldPosition="0"/>
    </format>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0"/>
        </references>
      </pivotArea>
    </format>
    <format dxfId="36">
      <pivotArea dataOnly="0" labelOnly="1" grandRow="1" outline="0"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875CA2-9658-4234-84C9-11D3CCC2F069}"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T8:U17" firstHeaderRow="1" firstDataRow="1" firstDataCol="1"/>
  <pivotFields count="26">
    <pivotField showAll="0"/>
    <pivotField dataField="1" showAll="0"/>
    <pivotField showAll="0"/>
    <pivotField showAll="0"/>
    <pivotField showAll="0"/>
    <pivotField showAll="0"/>
    <pivotField showAll="0"/>
    <pivotField showAll="0">
      <items count="13">
        <item m="1" x="10"/>
        <item x="9"/>
        <item x="6"/>
        <item x="8"/>
        <item x="4"/>
        <item x="5"/>
        <item x="3"/>
        <item x="2"/>
        <item x="1"/>
        <item x="7"/>
        <item x="0"/>
        <item m="1" x="11"/>
        <item t="default"/>
      </items>
    </pivotField>
    <pivotField axis="axisRow" showAll="0" sortType="descending">
      <items count="10">
        <item x="5"/>
        <item x="4"/>
        <item x="3"/>
        <item x="2"/>
        <item x="1"/>
        <item x="7"/>
        <item x="6"/>
        <item x="0"/>
        <item m="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5">
        <item x="2"/>
        <item x="3"/>
        <item x="6"/>
        <item x="4"/>
        <item x="5"/>
        <item x="9"/>
        <item x="7"/>
        <item x="10"/>
        <item x="8"/>
        <item x="11"/>
        <item x="12"/>
        <item x="13"/>
        <item x="1"/>
        <item x="14"/>
        <item x="26"/>
        <item x="16"/>
        <item x="15"/>
        <item x="20"/>
        <item x="27"/>
        <item x="30"/>
        <item x="29"/>
        <item x="24"/>
        <item x="19"/>
        <item x="17"/>
        <item x="25"/>
        <item x="23"/>
        <item x="18"/>
        <item x="21"/>
        <item x="22"/>
        <item x="31"/>
        <item x="28"/>
        <item x="33"/>
        <item x="39"/>
        <item x="34"/>
        <item x="36"/>
        <item x="37"/>
        <item x="35"/>
        <item x="32"/>
        <item x="38"/>
        <item x="42"/>
        <item x="41"/>
        <item x="40"/>
        <item x="43"/>
        <item x="0"/>
        <item t="default"/>
      </items>
    </pivotField>
    <pivotField showAll="0"/>
    <pivotField multipleItemSelectionAllowe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9">
    <i>
      <x v="7"/>
    </i>
    <i>
      <x v="3"/>
    </i>
    <i>
      <x v="1"/>
    </i>
    <i>
      <x v="2"/>
    </i>
    <i>
      <x/>
    </i>
    <i>
      <x v="4"/>
    </i>
    <i>
      <x v="6"/>
    </i>
    <i>
      <x v="5"/>
    </i>
    <i t="grand">
      <x/>
    </i>
  </rowItems>
  <colItems count="1">
    <i/>
  </colItems>
  <dataFields count="1">
    <dataField name="Count of الصنف" fld="1" subtotal="count" baseField="0" baseItem="0"/>
  </dataFields>
  <formats count="7">
    <format dxfId="49">
      <pivotArea grandRow="1" outline="0" collapsedLevelsAreSubtotals="1" fieldPosition="0"/>
    </format>
    <format dxfId="48">
      <pivotArea type="all" dataOnly="0" outline="0" fieldPosition="0"/>
    </format>
    <format dxfId="47">
      <pivotArea outline="0" collapsedLevelsAreSubtotals="1" fieldPosition="0"/>
    </format>
    <format dxfId="46">
      <pivotArea field="8" type="button" dataOnly="0" labelOnly="1" outline="0" axis="axisRow" fieldPosition="0"/>
    </format>
    <format dxfId="45">
      <pivotArea dataOnly="0" labelOnly="1" fieldPosition="0">
        <references count="1">
          <reference field="8" count="0"/>
        </references>
      </pivotArea>
    </format>
    <format dxfId="44">
      <pivotArea dataOnly="0" labelOnly="1" grandRow="1" outline="0" fieldPosition="0"/>
    </format>
    <format dxfId="43">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98DF1C-FD1C-44BA-88DB-1A76222FEE3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8:I15" firstHeaderRow="1" firstDataRow="1" firstDataCol="1"/>
  <pivotFields count="26">
    <pivotField dataField="1" showAll="0"/>
    <pivotField axis="axisRow" showAll="0">
      <items count="7">
        <item x="1"/>
        <item x="2"/>
        <item x="0"/>
        <item x="5"/>
        <item x="4"/>
        <item x="3"/>
        <item t="default"/>
      </items>
    </pivotField>
    <pivotField showAll="0"/>
    <pivotField showAll="0"/>
    <pivotField showAll="0"/>
    <pivotField showAll="0"/>
    <pivotField showAll="0"/>
    <pivotField showAll="0">
      <items count="13">
        <item m="1" x="10"/>
        <item x="9"/>
        <item x="6"/>
        <item x="8"/>
        <item x="4"/>
        <item x="5"/>
        <item x="3"/>
        <item x="2"/>
        <item x="1"/>
        <item x="7"/>
        <item x="0"/>
        <item m="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5">
        <item x="2"/>
        <item x="3"/>
        <item x="6"/>
        <item x="4"/>
        <item x="5"/>
        <item x="9"/>
        <item x="7"/>
        <item x="10"/>
        <item x="8"/>
        <item x="11"/>
        <item x="12"/>
        <item x="13"/>
        <item x="1"/>
        <item x="14"/>
        <item x="26"/>
        <item x="16"/>
        <item x="15"/>
        <item x="20"/>
        <item x="27"/>
        <item x="30"/>
        <item x="29"/>
        <item x="24"/>
        <item x="19"/>
        <item x="17"/>
        <item x="25"/>
        <item x="23"/>
        <item x="18"/>
        <item x="21"/>
        <item x="22"/>
        <item x="31"/>
        <item x="28"/>
        <item x="33"/>
        <item x="39"/>
        <item x="34"/>
        <item x="36"/>
        <item x="37"/>
        <item x="35"/>
        <item x="32"/>
        <item x="38"/>
        <item x="42"/>
        <item x="41"/>
        <item x="40"/>
        <item x="43"/>
        <item x="0"/>
        <item t="default"/>
      </items>
    </pivotField>
    <pivotField showAll="0"/>
    <pivotField multipleItemSelectionAllowe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Count of المنتج" fld="0" subtotal="count" baseField="0" baseItem="0"/>
  </dataFields>
  <formats count="6">
    <format dxfId="55">
      <pivotArea type="all" dataOnly="0" outline="0" fieldPosition="0"/>
    </format>
    <format dxfId="54">
      <pivotArea outline="0" collapsedLevelsAreSubtotals="1" fieldPosition="0"/>
    </format>
    <format dxfId="53">
      <pivotArea field="1" type="button" dataOnly="0" labelOnly="1" outline="0" axis="axisRow" fieldPosition="0"/>
    </format>
    <format dxfId="52">
      <pivotArea dataOnly="0" labelOnly="1" fieldPosition="0">
        <references count="1">
          <reference field="1" count="0"/>
        </references>
      </pivotArea>
    </format>
    <format dxfId="51">
      <pivotArea dataOnly="0" labelOnly="1" grandRow="1" outline="0" fieldPosition="0"/>
    </format>
    <format dxfId="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E56182-5CAC-4260-BAF2-783D5CBD2AF7}"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AR8:AS12" firstHeaderRow="1" firstDataRow="1" firstDataCol="1"/>
  <pivotFields count="26">
    <pivotField showAll="0"/>
    <pivotField showAll="0"/>
    <pivotField showAll="0"/>
    <pivotField showAll="0"/>
    <pivotField showAll="0"/>
    <pivotField showAll="0"/>
    <pivotField showAll="0"/>
    <pivotField showAll="0">
      <items count="13">
        <item m="1" x="10"/>
        <item x="9"/>
        <item x="6"/>
        <item x="8"/>
        <item x="4"/>
        <item x="5"/>
        <item x="3"/>
        <item x="2"/>
        <item x="1"/>
        <item x="7"/>
        <item x="0"/>
        <item m="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5">
        <item h="1" x="2"/>
        <item h="1" x="3"/>
        <item h="1" x="6"/>
        <item h="1" x="4"/>
        <item h="1" x="5"/>
        <item h="1" x="9"/>
        <item h="1" x="7"/>
        <item h="1" x="10"/>
        <item h="1" x="8"/>
        <item h="1" x="11"/>
        <item h="1" x="12"/>
        <item h="1" x="13"/>
        <item h="1" x="1"/>
        <item h="1" x="14"/>
        <item h="1" x="26"/>
        <item h="1" x="16"/>
        <item h="1" x="15"/>
        <item h="1" x="20"/>
        <item h="1" x="27"/>
        <item h="1" x="30"/>
        <item h="1" x="29"/>
        <item h="1" x="24"/>
        <item h="1" x="19"/>
        <item h="1" x="17"/>
        <item h="1" x="25"/>
        <item h="1" x="23"/>
        <item h="1" x="18"/>
        <item h="1" x="21"/>
        <item h="1" x="22"/>
        <item h="1" x="31"/>
        <item h="1" x="28"/>
        <item h="1" x="33"/>
        <item h="1" x="39"/>
        <item h="1" x="34"/>
        <item h="1" x="36"/>
        <item h="1" x="37"/>
        <item h="1" x="35"/>
        <item h="1" x="32"/>
        <item h="1" x="38"/>
        <item h="1" x="42"/>
        <item h="1" x="41"/>
        <item h="1" x="40"/>
        <item h="1" x="43"/>
        <item x="0"/>
        <item t="default"/>
      </items>
    </pivotField>
    <pivotField showAll="0"/>
    <pivotField axis="axisRow" dataField="1" multipleItemSelectionAllowed="1" showAll="0" sortType="descending">
      <items count="5">
        <item x="2"/>
        <item x="1"/>
        <item x="0"/>
        <item m="1" x="3"/>
        <item t="default"/>
      </items>
      <autoSortScope>
        <pivotArea dataOnly="0" outline="0" fieldPosition="0">
          <references count="1">
            <reference field="4294967294" count="1" selected="0">
              <x v="0"/>
            </reference>
          </references>
        </pivotArea>
      </autoSortScope>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3"/>
  </rowFields>
  <rowItems count="4">
    <i>
      <x/>
    </i>
    <i>
      <x v="2"/>
    </i>
    <i>
      <x v="1"/>
    </i>
    <i t="grand">
      <x/>
    </i>
  </rowItems>
  <colItems count="1">
    <i/>
  </colItems>
  <dataFields count="1">
    <dataField name="Count of الحالة المعدلة" fld="23" subtotal="count" showDataAs="percentOfCol" baseField="0" baseItem="0" numFmtId="10"/>
  </dataFields>
  <formats count="6">
    <format dxfId="61">
      <pivotArea type="all" dataOnly="0" outline="0" fieldPosition="0"/>
    </format>
    <format dxfId="60">
      <pivotArea outline="0" collapsedLevelsAreSubtotals="1" fieldPosition="0"/>
    </format>
    <format dxfId="59">
      <pivotArea field="23" type="button" dataOnly="0" labelOnly="1" outline="0" axis="axisRow" fieldPosition="0"/>
    </format>
    <format dxfId="58">
      <pivotArea dataOnly="0" labelOnly="1" fieldPosition="0">
        <references count="1">
          <reference field="23" count="0"/>
        </references>
      </pivotArea>
    </format>
    <format dxfId="57">
      <pivotArea dataOnly="0" labelOnly="1" grandRow="1" outline="0" fieldPosition="0"/>
    </format>
    <format dxfId="56">
      <pivotArea dataOnly="0" labelOnly="1" outline="0" axis="axisValues" fieldPosition="0"/>
    </format>
  </formats>
  <chartFormats count="5">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3" count="1" selected="0">
            <x v="0"/>
          </reference>
        </references>
      </pivotArea>
    </chartFormat>
    <chartFormat chart="12" format="8">
      <pivotArea type="data" outline="0" fieldPosition="0">
        <references count="2">
          <reference field="4294967294" count="1" selected="0">
            <x v="0"/>
          </reference>
          <reference field="23" count="1" selected="0">
            <x v="2"/>
          </reference>
        </references>
      </pivotArea>
    </chartFormat>
    <chartFormat chart="12" format="9">
      <pivotArea type="data" outline="0" fieldPosition="0">
        <references count="2">
          <reference field="4294967294" count="1" selected="0">
            <x v="0"/>
          </reference>
          <reference field="23" count="1" selected="0">
            <x v="1"/>
          </reference>
        </references>
      </pivotArea>
    </chartFormat>
    <chartFormat chart="12" format="10">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47881B-F6CB-4A10-8876-123E7CD1825E}"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F8:AG14" firstHeaderRow="1" firstDataRow="1" firstDataCol="1"/>
  <pivotFields count="26">
    <pivotField showAll="0"/>
    <pivotField showAll="0"/>
    <pivotField showAll="0"/>
    <pivotField axis="axisRow" dataField="1" showAll="0" sortType="descending">
      <items count="6">
        <item x="4"/>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m="1" x="10"/>
        <item x="9"/>
        <item x="6"/>
        <item x="8"/>
        <item x="4"/>
        <item x="5"/>
        <item x="3"/>
        <item x="2"/>
        <item x="1"/>
        <item x="7"/>
        <item x="0"/>
        <item m="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5">
        <item x="2"/>
        <item x="3"/>
        <item x="6"/>
        <item x="4"/>
        <item x="5"/>
        <item x="9"/>
        <item x="7"/>
        <item x="10"/>
        <item x="8"/>
        <item x="11"/>
        <item x="12"/>
        <item x="13"/>
        <item x="1"/>
        <item x="14"/>
        <item x="26"/>
        <item x="16"/>
        <item x="15"/>
        <item x="20"/>
        <item x="27"/>
        <item x="30"/>
        <item x="29"/>
        <item x="24"/>
        <item x="19"/>
        <item x="17"/>
        <item x="25"/>
        <item x="23"/>
        <item x="18"/>
        <item x="21"/>
        <item x="22"/>
        <item x="31"/>
        <item x="28"/>
        <item x="33"/>
        <item x="39"/>
        <item x="34"/>
        <item x="36"/>
        <item x="37"/>
        <item x="35"/>
        <item x="32"/>
        <item x="38"/>
        <item x="42"/>
        <item x="41"/>
        <item x="40"/>
        <item x="43"/>
        <item x="0"/>
        <item t="default"/>
      </items>
    </pivotField>
    <pivotField showAll="0"/>
    <pivotField multipleItemSelectionAllowe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4"/>
    </i>
    <i>
      <x/>
    </i>
    <i>
      <x v="2"/>
    </i>
    <i>
      <x v="3"/>
    </i>
    <i>
      <x v="1"/>
    </i>
    <i t="grand">
      <x/>
    </i>
  </rowItems>
  <colItems count="1">
    <i/>
  </colItems>
  <dataFields count="1">
    <dataField name="Count of اللون" fld="3" subtotal="count" baseField="0" baseItem="0"/>
  </dataFields>
  <formats count="7">
    <format dxfId="68">
      <pivotArea grandRow="1" outline="0" collapsedLevelsAreSubtotals="1" fieldPosition="0"/>
    </format>
    <format dxfId="67">
      <pivotArea type="all" dataOnly="0" outline="0" fieldPosition="0"/>
    </format>
    <format dxfId="66">
      <pivotArea outline="0" collapsedLevelsAreSubtotals="1" fieldPosition="0"/>
    </format>
    <format dxfId="65">
      <pivotArea field="3" type="button" dataOnly="0" labelOnly="1" outline="0" axis="axisRow" fieldPosition="0"/>
    </format>
    <format dxfId="64">
      <pivotArea dataOnly="0" labelOnly="1" fieldPosition="0">
        <references count="1">
          <reference field="3" count="0"/>
        </references>
      </pivotArea>
    </format>
    <format dxfId="63">
      <pivotArea dataOnly="0" labelOnly="1" grandRow="1" outline="0" fieldPosition="0"/>
    </format>
    <format dxfId="62">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A91858-BB9D-4799-8659-92CA6F071B9D}"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2">
  <location ref="Z8:AA17" firstHeaderRow="1" firstDataRow="1" firstDataCol="1"/>
  <pivotFields count="26">
    <pivotField showAll="0"/>
    <pivotField dataField="1" showAll="0"/>
    <pivotField axis="axisRow" showAll="0" sortType="descending">
      <items count="9">
        <item sd="0" x="6"/>
        <item sd="0" x="3"/>
        <item sd="0" x="5"/>
        <item sd="0" x="7"/>
        <item sd="0" x="0"/>
        <item sd="0" x="4"/>
        <item sd="0" x="2"/>
        <item sd="0" x="1"/>
        <item t="default"/>
      </items>
      <autoSortScope>
        <pivotArea dataOnly="0" outline="0" fieldPosition="0">
          <references count="1">
            <reference field="4294967294" count="1" selected="0">
              <x v="0"/>
            </reference>
          </references>
        </pivotArea>
      </autoSortScope>
    </pivotField>
    <pivotField axis="axisRow" showAll="0" sortType="descending">
      <items count="6">
        <item x="4"/>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m="1" x="10"/>
        <item x="9"/>
        <item x="6"/>
        <item x="8"/>
        <item x="4"/>
        <item x="5"/>
        <item x="3"/>
        <item x="2"/>
        <item x="1"/>
        <item x="7"/>
        <item x="0"/>
        <item m="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5">
        <item x="2"/>
        <item x="3"/>
        <item x="6"/>
        <item x="4"/>
        <item x="5"/>
        <item x="9"/>
        <item x="7"/>
        <item x="10"/>
        <item x="8"/>
        <item x="11"/>
        <item x="12"/>
        <item x="13"/>
        <item x="1"/>
        <item x="14"/>
        <item x="26"/>
        <item x="16"/>
        <item x="15"/>
        <item x="20"/>
        <item x="27"/>
        <item x="30"/>
        <item x="29"/>
        <item x="24"/>
        <item x="19"/>
        <item x="17"/>
        <item x="25"/>
        <item x="23"/>
        <item x="18"/>
        <item x="21"/>
        <item x="22"/>
        <item x="31"/>
        <item x="28"/>
        <item x="33"/>
        <item x="39"/>
        <item x="34"/>
        <item x="36"/>
        <item x="37"/>
        <item x="35"/>
        <item x="32"/>
        <item x="38"/>
        <item x="42"/>
        <item x="41"/>
        <item x="40"/>
        <item x="43"/>
        <item x="0"/>
        <item t="default"/>
      </items>
    </pivotField>
    <pivotField showAll="0"/>
    <pivotField multipleItemSelectionAllowe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2"/>
    <field x="3"/>
  </rowFields>
  <rowItems count="9">
    <i>
      <x v="6"/>
    </i>
    <i>
      <x v="4"/>
    </i>
    <i>
      <x v="7"/>
    </i>
    <i>
      <x v="1"/>
    </i>
    <i>
      <x v="5"/>
    </i>
    <i>
      <x v="2"/>
    </i>
    <i>
      <x/>
    </i>
    <i>
      <x v="3"/>
    </i>
    <i t="grand">
      <x/>
    </i>
  </rowItems>
  <colItems count="1">
    <i/>
  </colItems>
  <dataFields count="1">
    <dataField name="Count of الصنف" fld="1" subtotal="count" baseField="0" baseItem="0"/>
  </dataFields>
  <formats count="15">
    <format dxfId="83">
      <pivotArea grandRow="1" outline="0" collapsedLevelsAreSubtotals="1" fieldPosition="0"/>
    </format>
    <format dxfId="82">
      <pivotArea type="all" dataOnly="0" outline="0" fieldPosition="0"/>
    </format>
    <format dxfId="81">
      <pivotArea outline="0" collapsedLevelsAreSubtotals="1" fieldPosition="0"/>
    </format>
    <format dxfId="80">
      <pivotArea field="2" type="button" dataOnly="0" labelOnly="1" outline="0" axis="axisRow" fieldPosition="0"/>
    </format>
    <format dxfId="79">
      <pivotArea dataOnly="0" labelOnly="1" fieldPosition="0">
        <references count="1">
          <reference field="2" count="0"/>
        </references>
      </pivotArea>
    </format>
    <format dxfId="78">
      <pivotArea dataOnly="0" labelOnly="1" grandRow="1" outline="0" fieldPosition="0"/>
    </format>
    <format dxfId="77">
      <pivotArea dataOnly="0" labelOnly="1" fieldPosition="0">
        <references count="2">
          <reference field="2" count="1" selected="0">
            <x v="6"/>
          </reference>
          <reference field="3" count="0"/>
        </references>
      </pivotArea>
    </format>
    <format dxfId="76">
      <pivotArea dataOnly="0" labelOnly="1" fieldPosition="0">
        <references count="2">
          <reference field="2" count="1" selected="0">
            <x v="4"/>
          </reference>
          <reference field="3" count="4">
            <x v="0"/>
            <x v="1"/>
            <x v="2"/>
            <x v="3"/>
          </reference>
        </references>
      </pivotArea>
    </format>
    <format dxfId="75">
      <pivotArea dataOnly="0" labelOnly="1" fieldPosition="0">
        <references count="2">
          <reference field="2" count="1" selected="0">
            <x v="7"/>
          </reference>
          <reference field="3" count="3">
            <x v="0"/>
            <x v="2"/>
            <x v="3"/>
          </reference>
        </references>
      </pivotArea>
    </format>
    <format dxfId="74">
      <pivotArea dataOnly="0" labelOnly="1" fieldPosition="0">
        <references count="2">
          <reference field="2" count="1" selected="0">
            <x v="1"/>
          </reference>
          <reference field="3" count="2">
            <x v="0"/>
            <x v="2"/>
          </reference>
        </references>
      </pivotArea>
    </format>
    <format dxfId="73">
      <pivotArea dataOnly="0" labelOnly="1" fieldPosition="0">
        <references count="2">
          <reference field="2" count="1" selected="0">
            <x v="5"/>
          </reference>
          <reference field="3" count="3">
            <x v="0"/>
            <x v="2"/>
            <x v="4"/>
          </reference>
        </references>
      </pivotArea>
    </format>
    <format dxfId="72">
      <pivotArea dataOnly="0" labelOnly="1" fieldPosition="0">
        <references count="2">
          <reference field="2" count="1" selected="0">
            <x v="2"/>
          </reference>
          <reference field="3" count="1">
            <x v="0"/>
          </reference>
        </references>
      </pivotArea>
    </format>
    <format dxfId="71">
      <pivotArea dataOnly="0" labelOnly="1" fieldPosition="0">
        <references count="2">
          <reference field="2" count="1" selected="0">
            <x v="0"/>
          </reference>
          <reference field="3" count="1">
            <x v="2"/>
          </reference>
        </references>
      </pivotArea>
    </format>
    <format dxfId="70">
      <pivotArea dataOnly="0" labelOnly="1" fieldPosition="0">
        <references count="2">
          <reference field="2" count="1" selected="0">
            <x v="3"/>
          </reference>
          <reference field="3" count="1">
            <x v="3"/>
          </reference>
        </references>
      </pivotArea>
    </format>
    <format dxfId="69">
      <pivotArea dataOnly="0" labelOnly="1" outline="0" axis="axisValues" fieldPosition="0"/>
    </format>
  </formats>
  <chartFormats count="1">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9C0E1A-5C57-4C7C-8686-BF95477D037A}"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8:O15" firstHeaderRow="1" firstDataRow="1" firstDataCol="1"/>
  <pivotFields count="26">
    <pivotField showAll="0"/>
    <pivotField axis="axisRow" showAll="0">
      <items count="7">
        <item x="1"/>
        <item x="2"/>
        <item x="0"/>
        <item x="5"/>
        <item x="4"/>
        <item x="3"/>
        <item t="default"/>
      </items>
    </pivotField>
    <pivotField showAll="0"/>
    <pivotField showAll="0"/>
    <pivotField showAll="0"/>
    <pivotField showAll="0"/>
    <pivotField showAll="0"/>
    <pivotField showAll="0">
      <items count="13">
        <item m="1" x="10"/>
        <item x="9"/>
        <item x="6"/>
        <item x="8"/>
        <item x="4"/>
        <item x="5"/>
        <item x="3"/>
        <item x="2"/>
        <item x="1"/>
        <item x="7"/>
        <item x="0"/>
        <item m="1" x="1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45">
        <item x="2"/>
        <item x="3"/>
        <item x="6"/>
        <item x="4"/>
        <item x="5"/>
        <item x="9"/>
        <item x="7"/>
        <item x="10"/>
        <item x="8"/>
        <item x="11"/>
        <item x="12"/>
        <item x="13"/>
        <item x="1"/>
        <item x="14"/>
        <item x="26"/>
        <item x="16"/>
        <item x="15"/>
        <item x="20"/>
        <item x="27"/>
        <item x="30"/>
        <item x="29"/>
        <item x="24"/>
        <item x="19"/>
        <item x="17"/>
        <item x="25"/>
        <item x="23"/>
        <item x="18"/>
        <item x="21"/>
        <item x="22"/>
        <item x="31"/>
        <item x="28"/>
        <item x="33"/>
        <item x="39"/>
        <item x="34"/>
        <item x="36"/>
        <item x="37"/>
        <item x="35"/>
        <item x="32"/>
        <item x="38"/>
        <item x="42"/>
        <item x="41"/>
        <item x="40"/>
        <item x="43"/>
        <item x="0"/>
        <item t="default"/>
      </items>
    </pivotField>
    <pivotField showAll="0"/>
    <pivotField multipleItemSelectionAllowe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Average of سعر البيع " fld="14" subtotal="average" baseField="1" baseItem="0"/>
  </dataFields>
  <formats count="8">
    <format dxfId="91">
      <pivotArea collapsedLevelsAreSubtotals="1" fieldPosition="0">
        <references count="1">
          <reference field="1" count="0"/>
        </references>
      </pivotArea>
    </format>
    <format dxfId="90">
      <pivotArea grandRow="1" outline="0" collapsedLevelsAreSubtotals="1" fieldPosition="0"/>
    </format>
    <format dxfId="89">
      <pivotArea type="all" dataOnly="0" outline="0" fieldPosition="0"/>
    </format>
    <format dxfId="88">
      <pivotArea outline="0" collapsedLevelsAreSubtotals="1" fieldPosition="0"/>
    </format>
    <format dxfId="87">
      <pivotArea field="1" type="button" dataOnly="0" labelOnly="1" outline="0" axis="axisRow" fieldPosition="0"/>
    </format>
    <format dxfId="86">
      <pivotArea dataOnly="0" labelOnly="1" fieldPosition="0">
        <references count="1">
          <reference field="1" count="0"/>
        </references>
      </pivotArea>
    </format>
    <format dxfId="85">
      <pivotArea dataOnly="0" labelOnly="1" grandRow="1" outline="0" fieldPosition="0"/>
    </format>
    <format dxfId="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ACDC59B-206C-47F9-8B9A-2F2909421BD7}" autoFormatId="16" applyNumberFormats="0" applyBorderFormats="0" applyFontFormats="0" applyPatternFormats="0" applyAlignmentFormats="0" applyWidthHeightFormats="0">
  <queryTableRefresh nextId="52">
    <queryTableFields count="24">
      <queryTableField id="1" name="المنتج" tableColumnId="1"/>
      <queryTableField id="2" name="الصنف" tableColumnId="2"/>
      <queryTableField id="3" name="نوع الصنف" tableColumnId="3"/>
      <queryTableField id="4" name="اللون" tableColumnId="4"/>
      <queryTableField id="29" name="misuo.أسم العميل" tableColumnId="29"/>
      <queryTableField id="30" name="misuo.الحالة" tableColumnId="30"/>
      <queryTableField id="31" name="misuo.العنوان" tableColumnId="31"/>
      <queryTableField id="32" name="misuo.المحافظة" tableColumnId="32"/>
      <queryTableField id="33" name="misuo.منصة البيع " tableColumnId="33"/>
      <queryTableField id="34" name="misuo.الصنف" tableColumnId="34"/>
      <queryTableField id="35" name="misuo.نوع الصنف" tableColumnId="35"/>
      <queryTableField id="36" name="misuo.الاسم" tableColumnId="36"/>
      <queryTableField id="37" name="misuo.المقاس" tableColumnId="37"/>
      <queryTableField id="38" name="misuo.اللون المعدن" tableColumnId="38"/>
      <queryTableField id="41" name="misuo.سعر البيع " tableColumnId="41"/>
      <queryTableField id="42" name="misuo.طريقة الدفع" tableColumnId="42"/>
      <queryTableField id="43" name="misuo.معاد التسليم الهدف" tableColumnId="43"/>
      <queryTableField id="44" name="misuo.معاد التسليم الفعلي" tableColumnId="44"/>
      <queryTableField id="51" dataBound="0" tableColumnId="52"/>
      <queryTableField id="45" name="misuo.ميعاد الطلب" tableColumnId="45"/>
      <queryTableField id="46" name="misuo.ميعاد التسليم" tableColumnId="46"/>
      <queryTableField id="47" name="misuo.تاريخ التسليم" tableColumnId="47"/>
      <queryTableField id="48" name="misuo.المسئول عن التسليم" tableColumnId="48"/>
      <queryTableField id="49" name="misuo.الحالة2" tableColumnId="49"/>
    </queryTableFields>
    <queryTableDeletedFields count="27">
      <deletedField name="Index"/>
      <deletedField name="misuo.Index"/>
      <deletedField name="misuo.أسم العميل"/>
      <deletedField name="misuo.الحالة"/>
      <deletedField name="misuo.العنوان"/>
      <deletedField name="misuo.المحافظة"/>
      <deletedField name="misuo.منصة البيع "/>
      <deletedField name="misuo.الصنف"/>
      <deletedField name="misuo.نوع الصنف"/>
      <deletedField name="misuo.الاسم"/>
      <deletedField name="misuo.المقاس"/>
      <deletedField name="misuo.اللون المعدن"/>
      <deletedField name="misuo.لون القماش"/>
      <deletedField name="misuo.المنتج"/>
      <deletedField name="misuo.سعر البيع "/>
      <deletedField name="misuo.طريقة الدفع"/>
      <deletedField name="misuo.معاد التسليم الهدف"/>
      <deletedField name="misuo.معاد التسليم الفعلي"/>
      <deletedField name="misuo.ميعاد الطلب"/>
      <deletedField name="misuo.ميعاد التسليم"/>
      <deletedField name="misuo.تاريخ التسليم"/>
      <deletedField name="misuo.المسئول عن التسليم"/>
      <deletedField name="misuo.الحالة2"/>
      <deletedField name="Index"/>
      <deletedField name="misuo.Index"/>
      <deletedField name="misuo.لون القماش"/>
      <deletedField name="misuo.المنتج"/>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ة" xr10:uid="{C7C2A6B9-FC22-411F-9C68-1FD66D29E61C}" sourceName="المحافظة">
  <pivotTables>
    <pivotTable tabId="15" name="PivotTable14"/>
    <pivotTable tabId="15" name="PivotTable10"/>
    <pivotTable tabId="15" name="PivotTable11"/>
    <pivotTable tabId="15" name="PivotTable12"/>
    <pivotTable tabId="15" name="PivotTable13"/>
    <pivotTable tabId="15" name="PivotTable6"/>
    <pivotTable tabId="15" name="PivotTable7"/>
    <pivotTable tabId="15" name="PivotTable8"/>
    <pivotTable tabId="15" name="PivotTable9"/>
  </pivotTables>
  <data>
    <tabular pivotCacheId="1110366709">
      <items count="12">
        <i x="9" s="1"/>
        <i x="6" s="1"/>
        <i x="8" s="1"/>
        <i x="4" s="1"/>
        <i x="5" s="1"/>
        <i x="3" s="1"/>
        <i x="2" s="1"/>
        <i x="1" s="1"/>
        <i x="7" s="1"/>
        <i x="0" s="1"/>
        <i x="10"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حافظة" xr10:uid="{05895B2F-7D21-44A5-82FB-D527667BF9D0}" cache="Slicer_المحافظة" caption="المحافظة" style="Slicer Style 5"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D95D71-9C75-4295-89DA-8934C5BB8F26}" name="misuo" displayName="misuo" ref="A1:U129" totalsRowCount="1" headerRowDxfId="138" dataDxfId="136" totalsRowDxfId="134" headerRowBorderDxfId="137" tableBorderDxfId="135">
  <autoFilter ref="A1:U128" xr:uid="{78592319-B3CA-4014-A5AC-1D456065A8C7}"/>
  <tableColumns count="21">
    <tableColumn id="3" xr3:uid="{1C456903-8415-4D28-A4AE-412E55008EA5}" name="أسم العميل" dataDxfId="133" totalsRowDxfId="132"/>
    <tableColumn id="2" xr3:uid="{6C0BCC4C-CEA8-4E9D-BEB1-EBA8C3CCF1EE}" name="الحالة" dataDxfId="131" totalsRowDxfId="130">
      <calculatedColumnFormula>IF(OR(misuo[[#This Row],[أسم العميل]]="تاكي",misuo[[#This Row],[أسم العميل]]="شيك هومز",misuo[[#This Row],[أسم العميل]]="اوسكار راتن"),"شركات","افراد")</calculatedColumnFormula>
    </tableColumn>
    <tableColumn id="4" xr3:uid="{287E8866-146A-4343-A335-9AE924053A17}" name="العنوان" dataDxfId="129" totalsRowDxfId="128"/>
    <tableColumn id="20" xr3:uid="{2E199D0C-0B49-4FF2-B75F-6987B53EE7DA}" name="المحافظة" dataDxfId="127" totalsRowDxfId="126"/>
    <tableColumn id="5" xr3:uid="{34596852-2C1F-4DA0-9650-3948436E1855}" name="منصة البيع " dataDxfId="125" totalsRowDxfId="124"/>
    <tableColumn id="6" xr3:uid="{FF3BE64C-3415-4AE6-A06C-42FB34521874}" name="الصنف" dataDxfId="123" totalsRowDxfId="122"/>
    <tableColumn id="7" xr3:uid="{E409F513-CA37-4D4F-9C3D-D9E5212EFBB8}" name="نوع الصنف" dataDxfId="121" totalsRowDxfId="120"/>
    <tableColumn id="8" xr3:uid="{D3CF9E2F-ED10-4649-8876-64ECACA75D54}" name="الاسم" dataDxfId="119" totalsRowDxfId="118"/>
    <tableColumn id="9" xr3:uid="{F4A416BB-38E9-4FE1-AEBF-E2ECB246F0D8}" name="المقاس" dataDxfId="117" totalsRowDxfId="116"/>
    <tableColumn id="10" xr3:uid="{8BB37FAF-1254-47A5-858F-7808BBF71377}" name="اللون المعدن" dataDxfId="115" totalsRowDxfId="114"/>
    <tableColumn id="11" xr3:uid="{88FE317F-83AD-46D5-8576-0FD8EBCFA5B6}" name="لون القماش" dataDxfId="113" totalsRowDxfId="112"/>
    <tableColumn id="12" xr3:uid="{E74C0B41-9C2F-42EC-BE9B-0F0CEE409A2D}" name="المنتج" dataDxfId="111" totalsRowDxfId="110"/>
    <tableColumn id="13" xr3:uid="{69DD9846-CBF8-4EC7-BB5E-FB65BB63BF4E}" name="سعر البيع " dataDxfId="109" totalsRowDxfId="108"/>
    <tableColumn id="21" xr3:uid="{24CAF02C-5162-4F4D-9BCB-6FE6C99A2E3E}" name="طريقة الدفع" dataDxfId="107" totalsRowDxfId="106"/>
    <tableColumn id="23" xr3:uid="{835490D6-6675-4301-AB39-8C4B78F2F5C3}" name="معاد التسليم الهدف" dataDxfId="105" totalsRowDxfId="104">
      <calculatedColumnFormula>IF(OR(ISBLANK(misuo[[#This Row],[ميعاد التسليم]]),ISBLANK(misuo[[#This Row],[ميعاد الطلب]])),0,misuo[[#This Row],[ميعاد التسليم]]-misuo[[#This Row],[ميعاد الطلب]])</calculatedColumnFormula>
    </tableColumn>
    <tableColumn id="22" xr3:uid="{3C0336B1-E5DB-4178-85E2-116566DC6616}" name="معاد التسليم الفعلي" dataDxfId="103" totalsRowDxfId="102">
      <calculatedColumnFormula>IF(OR(ISBLANK(misuo[[#This Row],[تاريخ التسليم]]),ISBLANK(misuo[[#This Row],[ميعاد الطلب]])),0,misuo[[#This Row],[تاريخ التسليم]]-misuo[[#This Row],[ميعاد الطلب]])</calculatedColumnFormula>
    </tableColumn>
    <tableColumn id="15" xr3:uid="{6A045BD0-E50D-4D3C-A683-20FE8C7F1EE3}" name="ميعاد الطلب" dataDxfId="101" totalsRowDxfId="100"/>
    <tableColumn id="16" xr3:uid="{B1A5CC9A-512A-4A28-813F-EB0A8222287B}" name="ميعاد التسليم" dataDxfId="99" totalsRowDxfId="98"/>
    <tableColumn id="17" xr3:uid="{7692E72F-4A48-485D-A425-EB87C72D1646}" name="تاريخ التسليم" dataDxfId="97" totalsRowDxfId="96"/>
    <tableColumn id="18" xr3:uid="{0EB485B9-09AA-4F23-8BA0-B1AF2CC71567}" name="المسئول عن التسليم" dataDxfId="95" totalsRowDxfId="94"/>
    <tableColumn id="19" xr3:uid="{B456696E-935E-4858-B908-05ACD4784268}" name="الحالة2" dataDxfId="93" totalsRowDxfId="9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38540B4-4C45-44A4-A9A3-D14D523D278D}" name="misuo__3" displayName="misuo__3" ref="A1:X127" tableType="queryTable" totalsRowShown="0" headerRowDxfId="17">
  <autoFilter ref="A1:X127" xr:uid="{538540B4-4C45-44A4-A9A3-D14D523D278D}"/>
  <tableColumns count="24">
    <tableColumn id="1" xr3:uid="{FA28F4A3-6ACB-480A-8529-C26884FAFEC6}" uniqueName="1" name="المنتج" queryTableFieldId="1" dataDxfId="16"/>
    <tableColumn id="2" xr3:uid="{6FF705D4-C3CD-4A41-8BF0-1A38AEF917E4}" uniqueName="2" name="الصنف" queryTableFieldId="2"/>
    <tableColumn id="3" xr3:uid="{B5BE07DD-2F0E-49FF-B23B-A416C4B20892}" uniqueName="3" name="نوع الصنف" queryTableFieldId="3"/>
    <tableColumn id="4" xr3:uid="{D6F42238-9079-4B53-BB98-CD0892ED7DD4}" uniqueName="4" name="اللون" queryTableFieldId="4" dataDxfId="15"/>
    <tableColumn id="29" xr3:uid="{51575A9D-0EB4-4847-83B8-72A55112F2FB}" uniqueName="29" name="أسم العميل" queryTableFieldId="29" dataDxfId="14"/>
    <tableColumn id="30" xr3:uid="{35F84FCE-43AC-4894-8C67-A3E50736FFFA}" uniqueName="30" name="نوع العميل" queryTableFieldId="30" dataDxfId="13"/>
    <tableColumn id="31" xr3:uid="{99828843-4FC7-4C42-B63D-0BF0E375C115}" uniqueName="31" name="العنوان" queryTableFieldId="31" dataDxfId="12"/>
    <tableColumn id="32" xr3:uid="{C5365C6D-69B2-4B20-9134-1A3489BBEB32}" uniqueName="32" name="المحافظة" queryTableFieldId="32" dataDxfId="11"/>
    <tableColumn id="33" xr3:uid="{45AFD39F-ADEB-4C77-B4DC-D643A1A135FC}" uniqueName="33" name="منصة البيع " queryTableFieldId="33" dataDxfId="10"/>
    <tableColumn id="34" xr3:uid="{FAA4DD93-0073-4A78-8C2D-27461CF1B5EF}" uniqueName="34" name="الصنف2" queryTableFieldId="34" dataDxfId="9"/>
    <tableColumn id="35" xr3:uid="{D8CB45FF-FF93-4345-9223-4619EB0C7CDA}" uniqueName="35" name="نوع الصنف2" queryTableFieldId="35" dataDxfId="8"/>
    <tableColumn id="36" xr3:uid="{9D7EC569-DA26-4598-B1D4-E5ADE656AC17}" uniqueName="36" name="الاسم" queryTableFieldId="36" dataDxfId="7"/>
    <tableColumn id="37" xr3:uid="{542AE3D7-FAF2-484D-955E-2F8E8DE9B1B6}" uniqueName="37" name="المقاس" queryTableFieldId="37"/>
    <tableColumn id="38" xr3:uid="{2B3D29B3-51DD-4B5A-8BF4-DEC19496549F}" uniqueName="38" name="اللون المعدن" queryTableFieldId="38" dataDxfId="6"/>
    <tableColumn id="41" xr3:uid="{5F3CB232-1AD5-4E8E-894B-BEF199260463}" uniqueName="41" name="سعر البيع " queryTableFieldId="41"/>
    <tableColumn id="42" xr3:uid="{794D2252-C51E-435C-B1C6-6E0375AD2D2B}" uniqueName="42" name="طريقة الدفع" queryTableFieldId="42"/>
    <tableColumn id="43" xr3:uid="{B537D7ED-74AF-471D-9581-F5F43AB56D49}" uniqueName="43" name="معاد التسليم الهدف" queryTableFieldId="43"/>
    <tableColumn id="44" xr3:uid="{53090CCB-4E31-4176-8AC2-7E82470D4C59}" uniqueName="44" name="معاد التسليم الفعلي" queryTableFieldId="44"/>
    <tableColumn id="52" xr3:uid="{968BF297-6A5C-447C-9E8F-560BBB24265B}" uniqueName="52" name="حالة الالتزام" queryTableFieldId="51" dataDxfId="5">
      <calculatedColumnFormula>IF(OR(misuo__3[[#This Row],[معاد التسليم الهدف]]=0,misuo__3[[#This Row],[معاد التسليم الفعلي]]=0 ), "فراغ قيم", IF(misuo__3[[#This Row],[معاد التسليم الفعلي]]&lt;=misuo__3[[#This Row],[معاد التسليم الهدف]], "في الموعد", "متأخر"))</calculatedColumnFormula>
    </tableColumn>
    <tableColumn id="45" xr3:uid="{D8A31311-D05F-41A4-8F97-008FAD8951C7}" uniqueName="45" name="ميعاد الطلب" queryTableFieldId="45" dataDxfId="4"/>
    <tableColumn id="46" xr3:uid="{7D1169AA-3342-4244-BAFA-A49EA405A3C5}" uniqueName="46" name="ميعاد التسليم" queryTableFieldId="46" dataDxfId="3"/>
    <tableColumn id="47" xr3:uid="{7CC1BFEB-01E2-4A47-80D1-CFC29CDF3C50}" uniqueName="47" name="تاريخ التسليم" queryTableFieldId="47" dataDxfId="2"/>
    <tableColumn id="48" xr3:uid="{3E69B1BC-9330-4873-91F4-3F3449C0B7AC}" uniqueName="48" name="المسئول عن التسليم" queryTableFieldId="48" dataDxfId="1"/>
    <tableColumn id="49" xr3:uid="{DA036D8E-7846-4243-B6FE-87497A12F86D}" uniqueName="49" name="الحالة المعدلة" queryTableFieldId="4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F9933-7E25-4EB4-9B72-EC0994FB34CB}">
  <dimension ref="A1:U1032"/>
  <sheetViews>
    <sheetView rightToLeft="1" zoomScale="70" zoomScaleNormal="70" workbookViewId="0">
      <selection activeCell="L11" sqref="L11"/>
    </sheetView>
  </sheetViews>
  <sheetFormatPr defaultColWidth="8.88671875" defaultRowHeight="14.4" x14ac:dyDescent="0.3"/>
  <cols>
    <col min="1" max="1" width="17.77734375" style="18" customWidth="1"/>
    <col min="2" max="2" width="8.6640625" style="18" bestFit="1" customWidth="1"/>
    <col min="3" max="3" width="30.88671875" style="18" bestFit="1" customWidth="1"/>
    <col min="4" max="4" width="32.77734375" style="18" bestFit="1" customWidth="1"/>
    <col min="5" max="5" width="13" style="18" bestFit="1" customWidth="1"/>
    <col min="6" max="6" width="12.77734375" style="18" bestFit="1" customWidth="1"/>
    <col min="7" max="7" width="16" style="18" bestFit="1" customWidth="1"/>
    <col min="8" max="8" width="11.88671875" style="18" bestFit="1" customWidth="1"/>
    <col min="9" max="9" width="13" style="18" bestFit="1" customWidth="1"/>
    <col min="10" max="10" width="17.109375" style="18" bestFit="1" customWidth="1"/>
    <col min="11" max="11" width="14.109375" style="18" customWidth="1"/>
    <col min="12" max="12" width="36.88671875" style="18" customWidth="1"/>
    <col min="13" max="13" width="15" style="41" bestFit="1" customWidth="1"/>
    <col min="14" max="14" width="13.5546875" style="18" bestFit="1" customWidth="1"/>
    <col min="15" max="15" width="19.33203125" style="45" bestFit="1" customWidth="1"/>
    <col min="16" max="16" width="19" style="45" bestFit="1" customWidth="1"/>
    <col min="17" max="17" width="13.5546875" style="42" bestFit="1" customWidth="1"/>
    <col min="18" max="18" width="14.44140625" style="42" bestFit="1" customWidth="1"/>
    <col min="19" max="19" width="14.88671875" style="42" bestFit="1" customWidth="1"/>
    <col min="20" max="20" width="23.33203125" style="18" bestFit="1" customWidth="1"/>
    <col min="21" max="21" width="10.109375" style="43" customWidth="1"/>
    <col min="22" max="16384" width="8.88671875" style="18"/>
  </cols>
  <sheetData>
    <row r="1" spans="1:21" ht="20.100000000000001" customHeight="1" x14ac:dyDescent="0.3">
      <c r="A1" s="12" t="s">
        <v>242</v>
      </c>
      <c r="B1" s="12" t="s">
        <v>227</v>
      </c>
      <c r="C1" s="12" t="s">
        <v>241</v>
      </c>
      <c r="D1" s="12" t="s">
        <v>280</v>
      </c>
      <c r="E1" s="12" t="s">
        <v>240</v>
      </c>
      <c r="F1" s="13" t="s">
        <v>239</v>
      </c>
      <c r="G1" s="13" t="s">
        <v>238</v>
      </c>
      <c r="H1" s="13" t="s">
        <v>237</v>
      </c>
      <c r="I1" s="13" t="s">
        <v>236</v>
      </c>
      <c r="J1" s="13" t="s">
        <v>235</v>
      </c>
      <c r="K1" s="13" t="s">
        <v>234</v>
      </c>
      <c r="L1" s="14" t="s">
        <v>233</v>
      </c>
      <c r="M1" s="13" t="s">
        <v>232</v>
      </c>
      <c r="N1" s="12" t="s">
        <v>291</v>
      </c>
      <c r="O1" s="15" t="s">
        <v>293</v>
      </c>
      <c r="P1" s="15" t="s">
        <v>292</v>
      </c>
      <c r="Q1" s="16" t="s">
        <v>231</v>
      </c>
      <c r="R1" s="16" t="s">
        <v>230</v>
      </c>
      <c r="S1" s="16" t="s">
        <v>229</v>
      </c>
      <c r="T1" s="12" t="s">
        <v>228</v>
      </c>
      <c r="U1" s="17" t="s">
        <v>279</v>
      </c>
    </row>
    <row r="2" spans="1:21" ht="20.100000000000001" customHeight="1" x14ac:dyDescent="0.3">
      <c r="A2" s="17" t="s">
        <v>226</v>
      </c>
      <c r="B2" s="17" t="str">
        <f>IF(OR(misuo[[#This Row],[أسم العميل]]="تاكي",misuo[[#This Row],[أسم العميل]]="شيك هومز",misuo[[#This Row],[أسم العميل]]="اوسكار راتن"),"شركات","افراد")</f>
        <v>افراد</v>
      </c>
      <c r="C2" s="17" t="s">
        <v>224</v>
      </c>
      <c r="D2" s="19" t="s">
        <v>281</v>
      </c>
      <c r="E2" s="17" t="s">
        <v>6</v>
      </c>
      <c r="F2" s="17" t="s">
        <v>5</v>
      </c>
      <c r="G2" s="17" t="s">
        <v>24</v>
      </c>
      <c r="H2" s="20" t="s">
        <v>23</v>
      </c>
      <c r="I2" s="17">
        <v>90</v>
      </c>
      <c r="J2" s="17" t="s">
        <v>81</v>
      </c>
      <c r="K2" s="17"/>
      <c r="L2" s="21" t="s">
        <v>225</v>
      </c>
      <c r="M2" s="22">
        <v>11455</v>
      </c>
      <c r="N2" s="17" t="s">
        <v>295</v>
      </c>
      <c r="O2" s="23">
        <f>IF(OR(ISBLANK(misuo[[#This Row],[ميعاد التسليم]]),ISBLANK(misuo[[#This Row],[ميعاد الطلب]])),0,misuo[[#This Row],[ميعاد التسليم]]-misuo[[#This Row],[ميعاد الطلب]])</f>
        <v>0</v>
      </c>
      <c r="P2" s="23">
        <f>IF(OR(ISBLANK(misuo[[#This Row],[تاريخ التسليم]]),ISBLANK(misuo[[#This Row],[ميعاد الطلب]])),0,misuo[[#This Row],[تاريخ التسليم]]-misuo[[#This Row],[ميعاد الطلب]])</f>
        <v>0</v>
      </c>
      <c r="Q2" s="24">
        <f>DATE(2024,7,27)</f>
        <v>45500</v>
      </c>
      <c r="R2" s="24"/>
      <c r="S2" s="24"/>
      <c r="T2" s="17" t="s">
        <v>219</v>
      </c>
      <c r="U2" s="18" t="s">
        <v>0</v>
      </c>
    </row>
    <row r="3" spans="1:21" ht="20.100000000000001" customHeight="1" x14ac:dyDescent="0.3">
      <c r="A3" s="21" t="s">
        <v>244</v>
      </c>
      <c r="B3" s="21" t="str">
        <f>IF(OR(misuo[[#This Row],[أسم العميل]]="تاكي",misuo[[#This Row],[أسم العميل]]="شيك هومز",misuo[[#This Row],[أسم العميل]]="اوسكار راتن"),"شركات","افراد")</f>
        <v>افراد</v>
      </c>
      <c r="C3" s="21" t="s">
        <v>224</v>
      </c>
      <c r="D3" s="19" t="s">
        <v>281</v>
      </c>
      <c r="E3" s="17" t="s">
        <v>6</v>
      </c>
      <c r="F3" s="21" t="s">
        <v>5</v>
      </c>
      <c r="G3" s="21" t="s">
        <v>24</v>
      </c>
      <c r="H3" s="21" t="s">
        <v>3</v>
      </c>
      <c r="I3" s="21">
        <v>100</v>
      </c>
      <c r="J3" s="21" t="s">
        <v>45</v>
      </c>
      <c r="K3" s="21"/>
      <c r="L3" s="21" t="s">
        <v>223</v>
      </c>
      <c r="M3" s="25">
        <v>12833</v>
      </c>
      <c r="N3" s="21" t="s">
        <v>295</v>
      </c>
      <c r="O3" s="26">
        <f>IF(OR(ISBLANK(misuo[[#This Row],[ميعاد التسليم]]),ISBLANK(misuo[[#This Row],[ميعاد الطلب]])),0,misuo[[#This Row],[ميعاد التسليم]]-misuo[[#This Row],[ميعاد الطلب]])</f>
        <v>15</v>
      </c>
      <c r="P3" s="26">
        <f>IF(OR(ISBLANK(misuo[[#This Row],[تاريخ التسليم]]),ISBLANK(misuo[[#This Row],[ميعاد الطلب]])),0,misuo[[#This Row],[تاريخ التسليم]]-misuo[[#This Row],[ميعاد الطلب]])</f>
        <v>0</v>
      </c>
      <c r="Q3" s="27">
        <v>45520</v>
      </c>
      <c r="R3" s="27">
        <v>45535</v>
      </c>
      <c r="S3" s="27"/>
      <c r="T3" s="17" t="s">
        <v>219</v>
      </c>
      <c r="U3" s="18" t="s">
        <v>0</v>
      </c>
    </row>
    <row r="4" spans="1:21" ht="20.100000000000001" customHeight="1" x14ac:dyDescent="0.3">
      <c r="A4" s="21" t="s">
        <v>245</v>
      </c>
      <c r="B4" s="21" t="str">
        <f>IF(OR(misuo[[#This Row],[أسم العميل]]="تاكي",misuo[[#This Row],[أسم العميل]]="شيك هومز",misuo[[#This Row],[أسم العميل]]="اوسكار راتن"),"شركات","افراد")</f>
        <v>افراد</v>
      </c>
      <c r="C4" s="21" t="s">
        <v>151</v>
      </c>
      <c r="D4" s="19" t="s">
        <v>282</v>
      </c>
      <c r="E4" s="17" t="s">
        <v>6</v>
      </c>
      <c r="F4" s="28" t="s">
        <v>41</v>
      </c>
      <c r="G4" s="28" t="s">
        <v>57</v>
      </c>
      <c r="H4" s="28"/>
      <c r="I4" s="28"/>
      <c r="J4" s="28"/>
      <c r="K4" s="28"/>
      <c r="L4" s="21" t="s">
        <v>56</v>
      </c>
      <c r="M4" s="25">
        <v>7849</v>
      </c>
      <c r="N4" s="21" t="s">
        <v>1</v>
      </c>
      <c r="O4" s="26">
        <f>IF(OR(ISBLANK(misuo[[#This Row],[ميعاد التسليم]]),ISBLANK(misuo[[#This Row],[ميعاد الطلب]])),0,misuo[[#This Row],[ميعاد التسليم]]-misuo[[#This Row],[ميعاد الطلب]])</f>
        <v>12</v>
      </c>
      <c r="P4" s="26">
        <f>IF(OR(ISBLANK(misuo[[#This Row],[تاريخ التسليم]]),ISBLANK(misuo[[#This Row],[ميعاد الطلب]])),0,misuo[[#This Row],[تاريخ التسليم]]-misuo[[#This Row],[ميعاد الطلب]])</f>
        <v>21</v>
      </c>
      <c r="Q4" s="27">
        <v>45539</v>
      </c>
      <c r="R4" s="27">
        <v>45551</v>
      </c>
      <c r="S4" s="27">
        <v>45560</v>
      </c>
      <c r="T4" s="21" t="s">
        <v>294</v>
      </c>
      <c r="U4" s="21" t="s">
        <v>222</v>
      </c>
    </row>
    <row r="5" spans="1:21" ht="20.100000000000001" customHeight="1" x14ac:dyDescent="0.3">
      <c r="A5" s="21" t="s">
        <v>221</v>
      </c>
      <c r="B5" s="21" t="str">
        <f>IF(OR(misuo[[#This Row],[أسم العميل]]="تاكي",misuo[[#This Row],[أسم العميل]]="شيك هومز",misuo[[#This Row],[أسم العميل]]="اوسكار راتن"),"شركات","افراد")</f>
        <v>افراد</v>
      </c>
      <c r="C5" s="21" t="s">
        <v>12</v>
      </c>
      <c r="D5" s="19" t="s">
        <v>133</v>
      </c>
      <c r="E5" s="17" t="s">
        <v>6</v>
      </c>
      <c r="F5" s="28" t="s">
        <v>5</v>
      </c>
      <c r="G5" s="28" t="s">
        <v>38</v>
      </c>
      <c r="H5" s="28"/>
      <c r="I5" s="28"/>
      <c r="J5" s="28" t="s">
        <v>15</v>
      </c>
      <c r="K5" s="28" t="s">
        <v>15</v>
      </c>
      <c r="L5" s="21" t="s">
        <v>220</v>
      </c>
      <c r="M5" s="25">
        <v>9399</v>
      </c>
      <c r="N5" s="21" t="s">
        <v>1</v>
      </c>
      <c r="O5" s="26">
        <f>IF(OR(ISBLANK(misuo[[#This Row],[ميعاد التسليم]]),ISBLANK(misuo[[#This Row],[ميعاد الطلب]])),0,misuo[[#This Row],[ميعاد التسليم]]-misuo[[#This Row],[ميعاد الطلب]])</f>
        <v>8</v>
      </c>
      <c r="P5" s="23">
        <f>IF(OR(ISBLANK(misuo[[#This Row],[تاريخ التسليم]]),ISBLANK(misuo[[#This Row],[ميعاد الطلب]])),0,misuo[[#This Row],[تاريخ التسليم]]-misuo[[#This Row],[ميعاد الطلب]])</f>
        <v>0</v>
      </c>
      <c r="Q5" s="24">
        <f>DATE(2024,9,14)</f>
        <v>45549</v>
      </c>
      <c r="R5" s="27">
        <v>45557</v>
      </c>
      <c r="S5" s="27"/>
      <c r="T5" s="17" t="s">
        <v>219</v>
      </c>
      <c r="U5" s="18" t="s">
        <v>0</v>
      </c>
    </row>
    <row r="6" spans="1:21" ht="20.100000000000001" customHeight="1" x14ac:dyDescent="0.3">
      <c r="A6" s="29" t="s">
        <v>218</v>
      </c>
      <c r="B6" s="29" t="str">
        <f>IF(OR(misuo[[#This Row],[أسم العميل]]="تاكي",misuo[[#This Row],[أسم العميل]]="شيك هومز",misuo[[#This Row],[أسم العميل]]="اوسكار راتن"),"شركات","افراد")</f>
        <v>افراد</v>
      </c>
      <c r="C6" s="29" t="s">
        <v>217</v>
      </c>
      <c r="D6" s="19" t="s">
        <v>283</v>
      </c>
      <c r="E6" s="21" t="s">
        <v>96</v>
      </c>
      <c r="F6" s="30" t="s">
        <v>5</v>
      </c>
      <c r="G6" s="30" t="s">
        <v>168</v>
      </c>
      <c r="H6" s="30" t="s">
        <v>23</v>
      </c>
      <c r="I6" s="30">
        <v>100</v>
      </c>
      <c r="J6" s="30" t="s">
        <v>15</v>
      </c>
      <c r="K6" s="30"/>
      <c r="L6" s="29" t="s">
        <v>216</v>
      </c>
      <c r="M6" s="31">
        <v>9450</v>
      </c>
      <c r="N6" s="29" t="s">
        <v>295</v>
      </c>
      <c r="O6" s="32">
        <f>IF(OR(ISBLANK(misuo[[#This Row],[ميعاد التسليم]]),ISBLANK(misuo[[#This Row],[ميعاد الطلب]])),0,misuo[[#This Row],[ميعاد التسليم]]-misuo[[#This Row],[ميعاد الطلب]])</f>
        <v>14</v>
      </c>
      <c r="P6" s="32">
        <f>IF(OR(ISBLANK(misuo[[#This Row],[تاريخ التسليم]]),ISBLANK(misuo[[#This Row],[ميعاد الطلب]])),0,misuo[[#This Row],[تاريخ التسليم]]-misuo[[#This Row],[ميعاد الطلب]])</f>
        <v>0</v>
      </c>
      <c r="Q6" s="33">
        <v>45547</v>
      </c>
      <c r="R6" s="33">
        <v>45561</v>
      </c>
      <c r="S6" s="33"/>
      <c r="T6" s="29"/>
      <c r="U6" s="18" t="s">
        <v>0</v>
      </c>
    </row>
    <row r="7" spans="1:21" ht="20.100000000000001" customHeight="1" x14ac:dyDescent="0.3">
      <c r="A7" s="21" t="s">
        <v>246</v>
      </c>
      <c r="B7" s="21" t="str">
        <f>IF(OR(misuo[[#This Row],[أسم العميل]]="تاكي",misuo[[#This Row],[أسم العميل]]="شيك هومز",misuo[[#This Row],[أسم العميل]]="اوسكار راتن"),"شركات","افراد")</f>
        <v>افراد</v>
      </c>
      <c r="C7" s="21" t="s">
        <v>215</v>
      </c>
      <c r="D7" s="19" t="s">
        <v>283</v>
      </c>
      <c r="E7" s="17" t="s">
        <v>6</v>
      </c>
      <c r="F7" s="21" t="s">
        <v>5</v>
      </c>
      <c r="G7" s="21" t="s">
        <v>38</v>
      </c>
      <c r="H7" s="21"/>
      <c r="I7" s="21"/>
      <c r="J7" s="21"/>
      <c r="K7" s="21"/>
      <c r="L7" s="21" t="s">
        <v>214</v>
      </c>
      <c r="M7" s="25">
        <v>10160</v>
      </c>
      <c r="N7" s="21" t="s">
        <v>1</v>
      </c>
      <c r="O7" s="26">
        <f>IF(OR(ISBLANK(misuo[[#This Row],[ميعاد التسليم]]),ISBLANK(misuo[[#This Row],[ميعاد الطلب]])),0,misuo[[#This Row],[ميعاد التسليم]]-misuo[[#This Row],[ميعاد الطلب]])</f>
        <v>0</v>
      </c>
      <c r="P7" s="23">
        <f>IF(OR(ISBLANK(misuo[[#This Row],[تاريخ التسليم]]),ISBLANK(misuo[[#This Row],[ميعاد الطلب]])),0,misuo[[#This Row],[تاريخ التسليم]]-misuo[[#This Row],[ميعاد الطلب]])</f>
        <v>14</v>
      </c>
      <c r="Q7" s="24">
        <f t="shared" ref="Q7" si="0">DATE(2024,7,27)</f>
        <v>45500</v>
      </c>
      <c r="R7" s="27"/>
      <c r="S7" s="27">
        <v>45514</v>
      </c>
      <c r="T7" s="21" t="s">
        <v>294</v>
      </c>
      <c r="U7" s="21" t="s">
        <v>68</v>
      </c>
    </row>
    <row r="8" spans="1:21" ht="20.100000000000001" customHeight="1" x14ac:dyDescent="0.3">
      <c r="A8" s="21" t="s">
        <v>211</v>
      </c>
      <c r="B8" s="21" t="str">
        <f>IF(OR(misuo[[#This Row],[أسم العميل]]="تاكي",misuo[[#This Row],[أسم العميل]]="شيك هومز",misuo[[#This Row],[أسم العميل]]="اوسكار راتن"),"شركات","افراد")</f>
        <v>افراد</v>
      </c>
      <c r="C8" s="21" t="s">
        <v>213</v>
      </c>
      <c r="D8" s="19" t="s">
        <v>284</v>
      </c>
      <c r="E8" s="17" t="s">
        <v>6</v>
      </c>
      <c r="F8" s="21" t="s">
        <v>5</v>
      </c>
      <c r="G8" s="21" t="s">
        <v>38</v>
      </c>
      <c r="H8" s="21"/>
      <c r="I8" s="21"/>
      <c r="J8" s="21"/>
      <c r="K8" s="21"/>
      <c r="L8" s="21" t="s">
        <v>212</v>
      </c>
      <c r="M8" s="25">
        <v>10160</v>
      </c>
      <c r="N8" s="21" t="s">
        <v>295</v>
      </c>
      <c r="O8" s="26">
        <f>IF(OR(ISBLANK(misuo[[#This Row],[ميعاد التسليم]]),ISBLANK(misuo[[#This Row],[ميعاد الطلب]])),0,misuo[[#This Row],[ميعاد التسليم]]-misuo[[#This Row],[ميعاد الطلب]])</f>
        <v>0</v>
      </c>
      <c r="P8" s="23">
        <f>IF(OR(ISBLANK(misuo[[#This Row],[تاريخ التسليم]]),ISBLANK(misuo[[#This Row],[ميعاد الطلب]])),0,misuo[[#This Row],[تاريخ التسليم]]-misuo[[#This Row],[ميعاد الطلب]])</f>
        <v>14</v>
      </c>
      <c r="Q8" s="24">
        <f>DATE(2024,7,28)</f>
        <v>45501</v>
      </c>
      <c r="R8" s="27"/>
      <c r="S8" s="27">
        <v>45515</v>
      </c>
      <c r="T8" s="21" t="s">
        <v>294</v>
      </c>
      <c r="U8" s="21" t="s">
        <v>68</v>
      </c>
    </row>
    <row r="9" spans="1:21" ht="20.100000000000001" customHeight="1" x14ac:dyDescent="0.3">
      <c r="A9" s="21" t="s">
        <v>210</v>
      </c>
      <c r="B9" s="21" t="str">
        <f>IF(OR(misuo[[#This Row],[أسم العميل]]="تاكي",misuo[[#This Row],[أسم العميل]]="شيك هومز",misuo[[#This Row],[أسم العميل]]="اوسكار راتن"),"شركات","افراد")</f>
        <v>افراد</v>
      </c>
      <c r="C9" s="21" t="s">
        <v>173</v>
      </c>
      <c r="D9" s="19" t="s">
        <v>285</v>
      </c>
      <c r="E9" s="17" t="s">
        <v>6</v>
      </c>
      <c r="F9" s="28" t="s">
        <v>41</v>
      </c>
      <c r="G9" s="21"/>
      <c r="H9" s="21"/>
      <c r="I9" s="21"/>
      <c r="J9" s="21"/>
      <c r="K9" s="21"/>
      <c r="L9" s="21" t="s">
        <v>163</v>
      </c>
      <c r="M9" s="25">
        <v>8642</v>
      </c>
      <c r="N9" s="21" t="s">
        <v>1</v>
      </c>
      <c r="O9" s="26">
        <f>IF(OR(ISBLANK(misuo[[#This Row],[ميعاد التسليم]]),ISBLANK(misuo[[#This Row],[ميعاد الطلب]])),0,misuo[[#This Row],[ميعاد التسليم]]-misuo[[#This Row],[ميعاد الطلب]])</f>
        <v>13</v>
      </c>
      <c r="P9" s="26">
        <f>IF(OR(ISBLANK(misuo[[#This Row],[تاريخ التسليم]]),ISBLANK(misuo[[#This Row],[ميعاد الطلب]])),0,misuo[[#This Row],[تاريخ التسليم]]-misuo[[#This Row],[ميعاد الطلب]])</f>
        <v>2</v>
      </c>
      <c r="Q9" s="27">
        <v>45529</v>
      </c>
      <c r="R9" s="27">
        <v>45542</v>
      </c>
      <c r="S9" s="27">
        <v>45531</v>
      </c>
      <c r="T9" s="21" t="s">
        <v>294</v>
      </c>
      <c r="U9" s="21" t="s">
        <v>68</v>
      </c>
    </row>
    <row r="10" spans="1:21" ht="20.100000000000001" customHeight="1" x14ac:dyDescent="0.3">
      <c r="A10" s="21" t="s">
        <v>32</v>
      </c>
      <c r="B10" s="21" t="str">
        <f>IF(OR(misuo[[#This Row],[أسم العميل]]="تاكي",misuo[[#This Row],[أسم العميل]]="شيك هومز",misuo[[#This Row],[أسم العميل]]="اوسكار راتن"),"شركات","افراد")</f>
        <v>شركات</v>
      </c>
      <c r="C10" s="21"/>
      <c r="D10" s="34" t="s">
        <v>286</v>
      </c>
      <c r="E10" s="21" t="s">
        <v>32</v>
      </c>
      <c r="F10" s="21" t="s">
        <v>209</v>
      </c>
      <c r="G10" s="21" t="s">
        <v>46</v>
      </c>
      <c r="H10" s="21"/>
      <c r="I10" s="21"/>
      <c r="J10" s="21"/>
      <c r="K10" s="21"/>
      <c r="L10" s="21" t="s">
        <v>208</v>
      </c>
      <c r="M10" s="25">
        <v>14550</v>
      </c>
      <c r="N10" s="21" t="s">
        <v>1</v>
      </c>
      <c r="O10" s="26">
        <f>IF(OR(ISBLANK(misuo[[#This Row],[ميعاد التسليم]]),ISBLANK(misuo[[#This Row],[ميعاد الطلب]])),0,misuo[[#This Row],[ميعاد التسليم]]-misuo[[#This Row],[ميعاد الطلب]])</f>
        <v>20</v>
      </c>
      <c r="P10" s="26">
        <f>IF(OR(ISBLANK(misuo[[#This Row],[تاريخ التسليم]]),ISBLANK(misuo[[#This Row],[ميعاد الطلب]])),0,misuo[[#This Row],[تاريخ التسليم]]-misuo[[#This Row],[ميعاد الطلب]])</f>
        <v>22</v>
      </c>
      <c r="Q10" s="27">
        <v>45518</v>
      </c>
      <c r="R10" s="27">
        <v>45538</v>
      </c>
      <c r="S10" s="24">
        <v>45540</v>
      </c>
      <c r="T10" s="21" t="s">
        <v>294</v>
      </c>
      <c r="U10" s="21" t="s">
        <v>68</v>
      </c>
    </row>
    <row r="11" spans="1:21" ht="20.100000000000001" customHeight="1" x14ac:dyDescent="0.3">
      <c r="A11" s="21" t="s">
        <v>248</v>
      </c>
      <c r="B11" s="21" t="str">
        <f>IF(OR(misuo[[#This Row],[أسم العميل]]="تاكي",misuo[[#This Row],[أسم العميل]]="شيك هومز",misuo[[#This Row],[أسم العميل]]="اوسكار راتن"),"شركات","افراد")</f>
        <v>افراد</v>
      </c>
      <c r="C11" s="21" t="s">
        <v>103</v>
      </c>
      <c r="D11" s="19" t="s">
        <v>282</v>
      </c>
      <c r="E11" s="21" t="s">
        <v>96</v>
      </c>
      <c r="F11" s="21" t="s">
        <v>209</v>
      </c>
      <c r="G11" s="21" t="s">
        <v>46</v>
      </c>
      <c r="H11" s="21"/>
      <c r="I11" s="21"/>
      <c r="J11" s="21"/>
      <c r="K11" s="21"/>
      <c r="L11" s="21" t="s">
        <v>208</v>
      </c>
      <c r="M11" s="25">
        <v>12000</v>
      </c>
      <c r="N11" s="21" t="s">
        <v>295</v>
      </c>
      <c r="O11" s="26">
        <f>IF(OR(ISBLANK(misuo[[#This Row],[ميعاد التسليم]]),ISBLANK(misuo[[#This Row],[ميعاد الطلب]])),0,misuo[[#This Row],[ميعاد التسليم]]-misuo[[#This Row],[ميعاد الطلب]])</f>
        <v>3</v>
      </c>
      <c r="P11" s="26">
        <f>IF(OR(ISBLANK(misuo[[#This Row],[تاريخ التسليم]]),ISBLANK(misuo[[#This Row],[ميعاد الطلب]])),0,misuo[[#This Row],[تاريخ التسليم]]-misuo[[#This Row],[ميعاد الطلب]])</f>
        <v>2</v>
      </c>
      <c r="Q11" s="27">
        <v>45521</v>
      </c>
      <c r="R11" s="27">
        <v>45524</v>
      </c>
      <c r="S11" s="27">
        <v>45523</v>
      </c>
      <c r="T11" s="21" t="s">
        <v>294</v>
      </c>
      <c r="U11" s="21" t="s">
        <v>68</v>
      </c>
    </row>
    <row r="12" spans="1:21" ht="20.100000000000001" customHeight="1" x14ac:dyDescent="0.3">
      <c r="A12" s="21" t="s">
        <v>207</v>
      </c>
      <c r="B12" s="21" t="str">
        <f>IF(OR(misuo[[#This Row],[أسم العميل]]="تاكي",misuo[[#This Row],[أسم العميل]]="شيك هومز",misuo[[#This Row],[أسم العميل]]="اوسكار راتن"),"شركات","افراد")</f>
        <v>افراد</v>
      </c>
      <c r="C12" s="21" t="s">
        <v>64</v>
      </c>
      <c r="D12" s="19" t="s">
        <v>283</v>
      </c>
      <c r="E12" s="17" t="s">
        <v>6</v>
      </c>
      <c r="F12" s="21" t="s">
        <v>5</v>
      </c>
      <c r="G12" s="21" t="s">
        <v>52</v>
      </c>
      <c r="H12" s="21"/>
      <c r="I12" s="21"/>
      <c r="J12" s="21"/>
      <c r="K12" s="21"/>
      <c r="L12" s="21" t="s">
        <v>206</v>
      </c>
      <c r="M12" s="25">
        <v>7228</v>
      </c>
      <c r="N12" s="21" t="s">
        <v>1</v>
      </c>
      <c r="O12" s="26">
        <f>IF(OR(ISBLANK(misuo[[#This Row],[ميعاد التسليم]]),ISBLANK(misuo[[#This Row],[ميعاد الطلب]])),0,misuo[[#This Row],[ميعاد التسليم]]-misuo[[#This Row],[ميعاد الطلب]])</f>
        <v>9</v>
      </c>
      <c r="P12" s="26">
        <f>IF(OR(ISBLANK(misuo[[#This Row],[تاريخ التسليم]]),ISBLANK(misuo[[#This Row],[ميعاد الطلب]])),0,misuo[[#This Row],[تاريخ التسليم]]-misuo[[#This Row],[ميعاد الطلب]])</f>
        <v>16</v>
      </c>
      <c r="Q12" s="27">
        <v>45529</v>
      </c>
      <c r="R12" s="27">
        <v>45538</v>
      </c>
      <c r="S12" s="24">
        <v>45545</v>
      </c>
      <c r="T12" s="21" t="s">
        <v>294</v>
      </c>
      <c r="U12" s="21" t="s">
        <v>68</v>
      </c>
    </row>
    <row r="13" spans="1:21" ht="20.100000000000001" customHeight="1" x14ac:dyDescent="0.3">
      <c r="A13" s="21" t="s">
        <v>249</v>
      </c>
      <c r="B13" s="21" t="str">
        <f>IF(OR(misuo[[#This Row],[أسم العميل]]="تاكي",misuo[[#This Row],[أسم العميل]]="شيك هومز",misuo[[#This Row],[أسم العميل]]="اوسكار راتن"),"شركات","افراد")</f>
        <v>شركات</v>
      </c>
      <c r="C13" s="21" t="s">
        <v>67</v>
      </c>
      <c r="D13" s="19" t="s">
        <v>282</v>
      </c>
      <c r="E13" s="21" t="s">
        <v>91</v>
      </c>
      <c r="F13" s="21" t="s">
        <v>205</v>
      </c>
      <c r="G13" s="21" t="s">
        <v>204</v>
      </c>
      <c r="H13" s="21"/>
      <c r="I13" s="21"/>
      <c r="J13" s="21"/>
      <c r="K13" s="21"/>
      <c r="L13" s="21" t="s">
        <v>203</v>
      </c>
      <c r="M13" s="25">
        <v>22000</v>
      </c>
      <c r="N13" s="21" t="s">
        <v>295</v>
      </c>
      <c r="O13" s="26">
        <f>IF(OR(ISBLANK(misuo[[#This Row],[ميعاد التسليم]]),ISBLANK(misuo[[#This Row],[ميعاد الطلب]])),0,misuo[[#This Row],[ميعاد التسليم]]-misuo[[#This Row],[ميعاد الطلب]])</f>
        <v>13</v>
      </c>
      <c r="P13" s="26">
        <f>IF(OR(ISBLANK(misuo[[#This Row],[تاريخ التسليم]]),ISBLANK(misuo[[#This Row],[ميعاد الطلب]])),0,misuo[[#This Row],[تاريخ التسليم]]-misuo[[#This Row],[ميعاد الطلب]])</f>
        <v>29</v>
      </c>
      <c r="Q13" s="27">
        <v>45523</v>
      </c>
      <c r="R13" s="27">
        <v>45536</v>
      </c>
      <c r="S13" s="24">
        <v>45552</v>
      </c>
      <c r="T13" s="21"/>
      <c r="U13" s="21" t="s">
        <v>68</v>
      </c>
    </row>
    <row r="14" spans="1:21" ht="20.100000000000001" customHeight="1" x14ac:dyDescent="0.3">
      <c r="A14" s="21" t="s">
        <v>249</v>
      </c>
      <c r="B14" s="21" t="str">
        <f>IF(OR(misuo[[#This Row],[أسم العميل]]="تاكي",misuo[[#This Row],[أسم العميل]]="شيك هومز",misuo[[#This Row],[أسم العميل]]="اوسكار راتن"),"شركات","افراد")</f>
        <v>شركات</v>
      </c>
      <c r="C14" s="21" t="s">
        <v>30</v>
      </c>
      <c r="D14" s="19" t="s">
        <v>282</v>
      </c>
      <c r="E14" s="21" t="s">
        <v>91</v>
      </c>
      <c r="F14" s="21" t="s">
        <v>209</v>
      </c>
      <c r="G14" s="21" t="s">
        <v>66</v>
      </c>
      <c r="H14" s="21"/>
      <c r="I14" s="21"/>
      <c r="J14" s="21"/>
      <c r="K14" s="21"/>
      <c r="L14" s="21" t="s">
        <v>202</v>
      </c>
      <c r="M14" s="25">
        <v>6000</v>
      </c>
      <c r="N14" s="21" t="s">
        <v>295</v>
      </c>
      <c r="O14" s="26">
        <f>IF(OR(ISBLANK(misuo[[#This Row],[ميعاد التسليم]]),ISBLANK(misuo[[#This Row],[ميعاد الطلب]])),0,misuo[[#This Row],[ميعاد التسليم]]-misuo[[#This Row],[ميعاد الطلب]])</f>
        <v>21</v>
      </c>
      <c r="P14" s="26">
        <f>IF(OR(ISBLANK(misuo[[#This Row],[تاريخ التسليم]]),ISBLANK(misuo[[#This Row],[ميعاد الطلب]])),0,misuo[[#This Row],[تاريخ التسليم]]-misuo[[#This Row],[ميعاد الطلب]])</f>
        <v>23</v>
      </c>
      <c r="Q14" s="27">
        <v>45529</v>
      </c>
      <c r="R14" s="27">
        <v>45550</v>
      </c>
      <c r="S14" s="27">
        <v>45552</v>
      </c>
      <c r="T14" s="21" t="s">
        <v>69</v>
      </c>
      <c r="U14" s="21" t="s">
        <v>68</v>
      </c>
    </row>
    <row r="15" spans="1:21" ht="20.100000000000001" customHeight="1" x14ac:dyDescent="0.3">
      <c r="A15" s="21" t="s">
        <v>249</v>
      </c>
      <c r="B15" s="21" t="str">
        <f>IF(OR(misuo[[#This Row],[أسم العميل]]="تاكي",misuo[[#This Row],[أسم العميل]]="شيك هومز",misuo[[#This Row],[أسم العميل]]="اوسكار راتن"),"شركات","افراد")</f>
        <v>شركات</v>
      </c>
      <c r="C15" s="21" t="s">
        <v>30</v>
      </c>
      <c r="D15" s="19" t="s">
        <v>282</v>
      </c>
      <c r="E15" s="21" t="s">
        <v>91</v>
      </c>
      <c r="F15" s="21" t="s">
        <v>209</v>
      </c>
      <c r="G15" s="21" t="s">
        <v>66</v>
      </c>
      <c r="H15" s="21"/>
      <c r="I15" s="21"/>
      <c r="J15" s="21"/>
      <c r="K15" s="21"/>
      <c r="L15" s="35" t="s">
        <v>202</v>
      </c>
      <c r="M15" s="25">
        <v>6000</v>
      </c>
      <c r="N15" s="21" t="s">
        <v>295</v>
      </c>
      <c r="O15" s="26">
        <f>IF(OR(ISBLANK(misuo[[#This Row],[ميعاد التسليم]]),ISBLANK(misuo[[#This Row],[ميعاد الطلب]])),0,misuo[[#This Row],[ميعاد التسليم]]-misuo[[#This Row],[ميعاد الطلب]])</f>
        <v>21</v>
      </c>
      <c r="P15" s="26">
        <f>IF(OR(ISBLANK(misuo[[#This Row],[تاريخ التسليم]]),ISBLANK(misuo[[#This Row],[ميعاد الطلب]])),0,misuo[[#This Row],[تاريخ التسليم]]-misuo[[#This Row],[ميعاد الطلب]])</f>
        <v>23</v>
      </c>
      <c r="Q15" s="27">
        <v>45529</v>
      </c>
      <c r="R15" s="27">
        <v>45550</v>
      </c>
      <c r="S15" s="27">
        <v>45552</v>
      </c>
      <c r="T15" s="21" t="s">
        <v>69</v>
      </c>
      <c r="U15" s="21" t="s">
        <v>68</v>
      </c>
    </row>
    <row r="16" spans="1:21" ht="20.100000000000001" customHeight="1" x14ac:dyDescent="0.3">
      <c r="A16" s="21" t="s">
        <v>250</v>
      </c>
      <c r="B16" s="21" t="str">
        <f>IF(OR(misuo[[#This Row],[أسم العميل]]="تاكي",misuo[[#This Row],[أسم العميل]]="شيك هومز",misuo[[#This Row],[أسم العميل]]="اوسكار راتن"),"شركات","افراد")</f>
        <v>افراد</v>
      </c>
      <c r="C16" s="21" t="s">
        <v>97</v>
      </c>
      <c r="D16" s="19" t="s">
        <v>282</v>
      </c>
      <c r="E16" s="17" t="s">
        <v>6</v>
      </c>
      <c r="F16" s="21" t="s">
        <v>5</v>
      </c>
      <c r="G16" s="21" t="s">
        <v>24</v>
      </c>
      <c r="H16" s="21" t="s">
        <v>3</v>
      </c>
      <c r="I16" s="21">
        <v>80</v>
      </c>
      <c r="J16" s="21" t="s">
        <v>2</v>
      </c>
      <c r="K16" s="21"/>
      <c r="L16" s="35" t="s">
        <v>201</v>
      </c>
      <c r="M16" s="25">
        <v>10499</v>
      </c>
      <c r="N16" s="21" t="s">
        <v>295</v>
      </c>
      <c r="O16" s="26">
        <f>IF(OR(ISBLANK(misuo[[#This Row],[ميعاد التسليم]]),ISBLANK(misuo[[#This Row],[ميعاد الطلب]])),0,misuo[[#This Row],[ميعاد التسليم]]-misuo[[#This Row],[ميعاد الطلب]])</f>
        <v>15</v>
      </c>
      <c r="P16" s="26">
        <f>IF(OR(ISBLANK(misuo[[#This Row],[تاريخ التسليم]]),ISBLANK(misuo[[#This Row],[ميعاد الطلب]])),0,misuo[[#This Row],[تاريخ التسليم]]-misuo[[#This Row],[ميعاد الطلب]])</f>
        <v>7</v>
      </c>
      <c r="Q16" s="27">
        <v>45536</v>
      </c>
      <c r="R16" s="27">
        <v>45551</v>
      </c>
      <c r="S16" s="27">
        <v>45543</v>
      </c>
      <c r="T16" s="21" t="s">
        <v>294</v>
      </c>
      <c r="U16" s="21" t="s">
        <v>68</v>
      </c>
    </row>
    <row r="17" spans="1:21" ht="20.100000000000001" customHeight="1" x14ac:dyDescent="0.3">
      <c r="A17" s="17" t="s">
        <v>251</v>
      </c>
      <c r="B17" s="17" t="str">
        <f>IF(OR(misuo[[#This Row],[أسم العميل]]="تاكي",misuo[[#This Row],[أسم العميل]]="شيك هومز",misuo[[#This Row],[أسم العميل]]="اوسكار راتن"),"شركات","افراد")</f>
        <v>افراد</v>
      </c>
      <c r="C17" s="17" t="s">
        <v>200</v>
      </c>
      <c r="D17" s="19" t="s">
        <v>282</v>
      </c>
      <c r="E17" s="17" t="s">
        <v>35</v>
      </c>
      <c r="F17" s="18" t="s">
        <v>5</v>
      </c>
      <c r="G17" s="17" t="s">
        <v>24</v>
      </c>
      <c r="H17" s="21" t="s">
        <v>23</v>
      </c>
      <c r="I17" s="21">
        <v>120</v>
      </c>
      <c r="J17" s="21" t="s">
        <v>15</v>
      </c>
      <c r="K17" s="21"/>
      <c r="L17" s="21" t="s">
        <v>199</v>
      </c>
      <c r="M17" s="25">
        <v>6180</v>
      </c>
      <c r="N17" s="17" t="s">
        <v>295</v>
      </c>
      <c r="O17" s="23">
        <f>IF(OR(ISBLANK(misuo[[#This Row],[ميعاد التسليم]]),ISBLANK(misuo[[#This Row],[ميعاد الطلب]])),0,misuo[[#This Row],[ميعاد التسليم]]-misuo[[#This Row],[ميعاد الطلب]])</f>
        <v>13</v>
      </c>
      <c r="P17" s="23">
        <f>IF(OR(ISBLANK(misuo[[#This Row],[تاريخ التسليم]]),ISBLANK(misuo[[#This Row],[ميعاد الطلب]])),0,misuo[[#This Row],[تاريخ التسليم]]-misuo[[#This Row],[ميعاد الطلب]])</f>
        <v>12</v>
      </c>
      <c r="Q17" s="24">
        <v>45538</v>
      </c>
      <c r="R17" s="24">
        <v>45551</v>
      </c>
      <c r="S17" s="24">
        <v>45550</v>
      </c>
      <c r="T17" s="21" t="s">
        <v>69</v>
      </c>
      <c r="U17" s="21" t="s">
        <v>68</v>
      </c>
    </row>
    <row r="18" spans="1:21" ht="20.100000000000001" customHeight="1" x14ac:dyDescent="0.3">
      <c r="A18" s="21" t="s">
        <v>251</v>
      </c>
      <c r="B18" s="21" t="str">
        <f>IF(OR(misuo[[#This Row],[أسم العميل]]="تاكي",misuo[[#This Row],[أسم العميل]]="شيك هومز",misuo[[#This Row],[أسم العميل]]="اوسكار راتن"),"شركات","افراد")</f>
        <v>افراد</v>
      </c>
      <c r="C18" s="21" t="s">
        <v>200</v>
      </c>
      <c r="D18" s="19" t="s">
        <v>282</v>
      </c>
      <c r="E18" s="21" t="s">
        <v>35</v>
      </c>
      <c r="F18" s="18" t="s">
        <v>5</v>
      </c>
      <c r="G18" s="21" t="s">
        <v>24</v>
      </c>
      <c r="H18" s="28" t="s">
        <v>23</v>
      </c>
      <c r="I18" s="21">
        <v>120</v>
      </c>
      <c r="J18" s="21" t="s">
        <v>15</v>
      </c>
      <c r="K18" s="21"/>
      <c r="L18" s="21" t="s">
        <v>199</v>
      </c>
      <c r="M18" s="25">
        <v>6180</v>
      </c>
      <c r="N18" s="21" t="s">
        <v>295</v>
      </c>
      <c r="O18" s="26">
        <f>IF(OR(ISBLANK(misuo[[#This Row],[ميعاد التسليم]]),ISBLANK(misuo[[#This Row],[ميعاد الطلب]])),0,misuo[[#This Row],[ميعاد التسليم]]-misuo[[#This Row],[ميعاد الطلب]])</f>
        <v>13</v>
      </c>
      <c r="P18" s="26">
        <f>IF(OR(ISBLANK(misuo[[#This Row],[تاريخ التسليم]]),ISBLANK(misuo[[#This Row],[ميعاد الطلب]])),0,misuo[[#This Row],[تاريخ التسليم]]-misuo[[#This Row],[ميعاد الطلب]])</f>
        <v>12</v>
      </c>
      <c r="Q18" s="27">
        <v>45538</v>
      </c>
      <c r="R18" s="27">
        <v>45551</v>
      </c>
      <c r="S18" s="24">
        <v>45550</v>
      </c>
      <c r="T18" s="21" t="s">
        <v>69</v>
      </c>
      <c r="U18" s="21" t="s">
        <v>68</v>
      </c>
    </row>
    <row r="19" spans="1:21" ht="20.100000000000001" customHeight="1" x14ac:dyDescent="0.3">
      <c r="A19" s="21" t="s">
        <v>248</v>
      </c>
      <c r="B19" s="21" t="str">
        <f>IF(OR(misuo[[#This Row],[أسم العميل]]="تاكي",misuo[[#This Row],[أسم العميل]]="شيك هومز",misuo[[#This Row],[أسم العميل]]="اوسكار راتن"),"شركات","افراد")</f>
        <v>افراد</v>
      </c>
      <c r="C19" s="21" t="s">
        <v>17</v>
      </c>
      <c r="D19" s="19" t="s">
        <v>282</v>
      </c>
      <c r="E19" s="17" t="s">
        <v>6</v>
      </c>
      <c r="F19" s="28" t="s">
        <v>5</v>
      </c>
      <c r="G19" s="28" t="s">
        <v>52</v>
      </c>
      <c r="H19" s="28" t="s">
        <v>51</v>
      </c>
      <c r="I19" s="28">
        <v>80</v>
      </c>
      <c r="J19" s="28" t="s">
        <v>2</v>
      </c>
      <c r="K19" s="28"/>
      <c r="L19" s="21" t="s">
        <v>195</v>
      </c>
      <c r="M19" s="25">
        <v>7987</v>
      </c>
      <c r="N19" s="21" t="s">
        <v>1</v>
      </c>
      <c r="O19" s="26">
        <f>IF(OR(ISBLANK(misuo[[#This Row],[ميعاد التسليم]]),ISBLANK(misuo[[#This Row],[ميعاد الطلب]])),0,misuo[[#This Row],[ميعاد التسليم]]-misuo[[#This Row],[ميعاد الطلب]])</f>
        <v>10</v>
      </c>
      <c r="P19" s="26">
        <f>IF(OR(ISBLANK(misuo[[#This Row],[تاريخ التسليم]]),ISBLANK(misuo[[#This Row],[ميعاد الطلب]])),0,misuo[[#This Row],[تاريخ التسليم]]-misuo[[#This Row],[ميعاد الطلب]])</f>
        <v>15</v>
      </c>
      <c r="Q19" s="27">
        <v>45541</v>
      </c>
      <c r="R19" s="27">
        <v>45551</v>
      </c>
      <c r="S19" s="27">
        <v>45556</v>
      </c>
      <c r="T19" s="21" t="s">
        <v>69</v>
      </c>
      <c r="U19" s="21" t="s">
        <v>68</v>
      </c>
    </row>
    <row r="20" spans="1:21" ht="20.100000000000001" customHeight="1" x14ac:dyDescent="0.3">
      <c r="A20" s="21" t="s">
        <v>249</v>
      </c>
      <c r="B20" s="21" t="str">
        <f>IF(OR(misuo[[#This Row],[أسم العميل]]="تاكي",misuo[[#This Row],[أسم العميل]]="شيك هومز",misuo[[#This Row],[أسم العميل]]="اوسكار راتن"),"شركات","افراد")</f>
        <v>شركات</v>
      </c>
      <c r="C20" s="21" t="s">
        <v>67</v>
      </c>
      <c r="D20" s="19" t="s">
        <v>282</v>
      </c>
      <c r="E20" s="21" t="s">
        <v>91</v>
      </c>
      <c r="F20" s="21" t="s">
        <v>198</v>
      </c>
      <c r="G20" s="21" t="s">
        <v>197</v>
      </c>
      <c r="H20" s="21"/>
      <c r="I20" s="21"/>
      <c r="J20" s="21"/>
      <c r="K20" s="21"/>
      <c r="L20" s="35" t="s">
        <v>196</v>
      </c>
      <c r="M20" s="25">
        <v>9300</v>
      </c>
      <c r="N20" s="21" t="s">
        <v>295</v>
      </c>
      <c r="O20" s="26">
        <f>IF(OR(ISBLANK(misuo[[#This Row],[ميعاد التسليم]]),ISBLANK(misuo[[#This Row],[ميعاد الطلب]])),0,misuo[[#This Row],[ميعاد التسليم]]-misuo[[#This Row],[ميعاد الطلب]])</f>
        <v>11</v>
      </c>
      <c r="P20" s="26">
        <f>IF(OR(ISBLANK(misuo[[#This Row],[تاريخ التسليم]]),ISBLANK(misuo[[#This Row],[ميعاد الطلب]])),0,misuo[[#This Row],[تاريخ التسليم]]-misuo[[#This Row],[ميعاد الطلب]])</f>
        <v>13</v>
      </c>
      <c r="Q20" s="27">
        <v>45539</v>
      </c>
      <c r="R20" s="27">
        <v>45550</v>
      </c>
      <c r="S20" s="27">
        <v>45552</v>
      </c>
      <c r="T20" s="21" t="s">
        <v>69</v>
      </c>
      <c r="U20" s="21" t="s">
        <v>68</v>
      </c>
    </row>
    <row r="21" spans="1:21" ht="20.100000000000001" customHeight="1" x14ac:dyDescent="0.3">
      <c r="A21" s="17" t="s">
        <v>248</v>
      </c>
      <c r="B21" s="17" t="str">
        <f>IF(OR(misuo[[#This Row],[أسم العميل]]="تاكي",misuo[[#This Row],[أسم العميل]]="شيك هومز",misuo[[#This Row],[أسم العميل]]="اوسكار راتن"),"شركات","افراد")</f>
        <v>افراد</v>
      </c>
      <c r="C21" s="17" t="s">
        <v>17</v>
      </c>
      <c r="D21" s="19" t="s">
        <v>282</v>
      </c>
      <c r="E21" s="17" t="s">
        <v>6</v>
      </c>
      <c r="F21" s="20" t="s">
        <v>5</v>
      </c>
      <c r="G21" s="20" t="s">
        <v>52</v>
      </c>
      <c r="H21" s="20" t="s">
        <v>51</v>
      </c>
      <c r="I21" s="20">
        <v>80</v>
      </c>
      <c r="J21" s="20" t="s">
        <v>2</v>
      </c>
      <c r="K21" s="20"/>
      <c r="L21" s="21" t="s">
        <v>195</v>
      </c>
      <c r="M21" s="22">
        <v>7987</v>
      </c>
      <c r="N21" s="21" t="s">
        <v>1</v>
      </c>
      <c r="O21" s="23">
        <f>IF(OR(ISBLANK(misuo[[#This Row],[ميعاد التسليم]]),ISBLANK(misuo[[#This Row],[ميعاد الطلب]])),0,misuo[[#This Row],[ميعاد التسليم]]-misuo[[#This Row],[ميعاد الطلب]])</f>
        <v>10</v>
      </c>
      <c r="P21" s="23">
        <f>IF(OR(ISBLANK(misuo[[#This Row],[تاريخ التسليم]]),ISBLANK(misuo[[#This Row],[ميعاد الطلب]])),0,misuo[[#This Row],[تاريخ التسليم]]-misuo[[#This Row],[ميعاد الطلب]])</f>
        <v>15</v>
      </c>
      <c r="Q21" s="24">
        <v>45541</v>
      </c>
      <c r="R21" s="24">
        <v>45551</v>
      </c>
      <c r="S21" s="24">
        <v>45556</v>
      </c>
      <c r="T21" s="21" t="s">
        <v>69</v>
      </c>
      <c r="U21" s="21" t="s">
        <v>68</v>
      </c>
    </row>
    <row r="22" spans="1:21" ht="20.100000000000001" customHeight="1" x14ac:dyDescent="0.3">
      <c r="A22" s="21" t="s">
        <v>248</v>
      </c>
      <c r="B22" s="21" t="str">
        <f>IF(OR(misuo[[#This Row],[أسم العميل]]="تاكي",misuo[[#This Row],[أسم العميل]]="شيك هومز",misuo[[#This Row],[أسم العميل]]="اوسكار راتن"),"شركات","افراد")</f>
        <v>افراد</v>
      </c>
      <c r="C22" s="21" t="s">
        <v>17</v>
      </c>
      <c r="D22" s="19" t="s">
        <v>282</v>
      </c>
      <c r="E22" s="17" t="s">
        <v>6</v>
      </c>
      <c r="F22" s="28" t="s">
        <v>5</v>
      </c>
      <c r="G22" s="28" t="s">
        <v>52</v>
      </c>
      <c r="H22" s="28" t="s">
        <v>51</v>
      </c>
      <c r="I22" s="28">
        <v>80</v>
      </c>
      <c r="J22" s="28" t="s">
        <v>2</v>
      </c>
      <c r="K22" s="28"/>
      <c r="L22" s="35" t="s">
        <v>195</v>
      </c>
      <c r="M22" s="25">
        <v>7987</v>
      </c>
      <c r="N22" s="21" t="s">
        <v>1</v>
      </c>
      <c r="O22" s="26">
        <f>IF(OR(ISBLANK(misuo[[#This Row],[ميعاد التسليم]]),ISBLANK(misuo[[#This Row],[ميعاد الطلب]])),0,misuo[[#This Row],[ميعاد التسليم]]-misuo[[#This Row],[ميعاد الطلب]])</f>
        <v>10</v>
      </c>
      <c r="P22" s="26">
        <f>IF(OR(ISBLANK(misuo[[#This Row],[تاريخ التسليم]]),ISBLANK(misuo[[#This Row],[ميعاد الطلب]])),0,misuo[[#This Row],[تاريخ التسليم]]-misuo[[#This Row],[ميعاد الطلب]])</f>
        <v>15</v>
      </c>
      <c r="Q22" s="27">
        <v>45541</v>
      </c>
      <c r="R22" s="27">
        <v>45551</v>
      </c>
      <c r="S22" s="27">
        <v>45556</v>
      </c>
      <c r="T22" s="21" t="s">
        <v>69</v>
      </c>
      <c r="U22" s="21" t="s">
        <v>68</v>
      </c>
    </row>
    <row r="23" spans="1:21" ht="20.100000000000001" customHeight="1" x14ac:dyDescent="0.3">
      <c r="A23" s="21" t="s">
        <v>248</v>
      </c>
      <c r="B23" s="21" t="str">
        <f>IF(OR(misuo[[#This Row],[أسم العميل]]="تاكي",misuo[[#This Row],[أسم العميل]]="شيك هومز",misuo[[#This Row],[أسم العميل]]="اوسكار راتن"),"شركات","افراد")</f>
        <v>افراد</v>
      </c>
      <c r="C23" s="21" t="s">
        <v>17</v>
      </c>
      <c r="D23" s="19" t="s">
        <v>282</v>
      </c>
      <c r="E23" s="17" t="s">
        <v>6</v>
      </c>
      <c r="F23" s="28" t="s">
        <v>5</v>
      </c>
      <c r="G23" s="28" t="s">
        <v>52</v>
      </c>
      <c r="H23" s="28" t="s">
        <v>51</v>
      </c>
      <c r="I23" s="28">
        <v>80</v>
      </c>
      <c r="J23" s="28" t="s">
        <v>2</v>
      </c>
      <c r="K23" s="28"/>
      <c r="L23" s="35" t="s">
        <v>195</v>
      </c>
      <c r="M23" s="25">
        <v>7987</v>
      </c>
      <c r="N23" s="21" t="s">
        <v>1</v>
      </c>
      <c r="O23" s="26">
        <f>IF(OR(ISBLANK(misuo[[#This Row],[ميعاد التسليم]]),ISBLANK(misuo[[#This Row],[ميعاد الطلب]])),0,misuo[[#This Row],[ميعاد التسليم]]-misuo[[#This Row],[ميعاد الطلب]])</f>
        <v>10</v>
      </c>
      <c r="P23" s="26">
        <f>IF(OR(ISBLANK(misuo[[#This Row],[تاريخ التسليم]]),ISBLANK(misuo[[#This Row],[ميعاد الطلب]])),0,misuo[[#This Row],[تاريخ التسليم]]-misuo[[#This Row],[ميعاد الطلب]])</f>
        <v>15</v>
      </c>
      <c r="Q23" s="27">
        <v>45541</v>
      </c>
      <c r="R23" s="27">
        <v>45551</v>
      </c>
      <c r="S23" s="27">
        <v>45556</v>
      </c>
      <c r="T23" s="21" t="s">
        <v>69</v>
      </c>
      <c r="U23" s="21" t="s">
        <v>68</v>
      </c>
    </row>
    <row r="24" spans="1:21" ht="20.100000000000001" customHeight="1" x14ac:dyDescent="0.3">
      <c r="A24" s="21" t="s">
        <v>194</v>
      </c>
      <c r="B24" s="21" t="str">
        <f>IF(OR(misuo[[#This Row],[أسم العميل]]="تاكي",misuo[[#This Row],[أسم العميل]]="شيك هومز",misuo[[#This Row],[أسم العميل]]="اوسكار راتن"),"شركات","افراد")</f>
        <v>افراد</v>
      </c>
      <c r="C24" s="21" t="s">
        <v>64</v>
      </c>
      <c r="D24" s="19" t="s">
        <v>283</v>
      </c>
      <c r="E24" s="17" t="s">
        <v>6</v>
      </c>
      <c r="F24" s="28" t="s">
        <v>5</v>
      </c>
      <c r="G24" s="28" t="s">
        <v>52</v>
      </c>
      <c r="H24" s="28" t="s">
        <v>110</v>
      </c>
      <c r="I24" s="28">
        <v>120</v>
      </c>
      <c r="J24" s="28" t="s">
        <v>2</v>
      </c>
      <c r="K24" s="28"/>
      <c r="L24" s="35" t="s">
        <v>193</v>
      </c>
      <c r="M24" s="25">
        <v>10987</v>
      </c>
      <c r="N24" s="21" t="s">
        <v>1</v>
      </c>
      <c r="O24" s="26">
        <f>IF(OR(ISBLANK(misuo[[#This Row],[ميعاد التسليم]]),ISBLANK(misuo[[#This Row],[ميعاد الطلب]])),0,misuo[[#This Row],[ميعاد التسليم]]-misuo[[#This Row],[ميعاد الطلب]])</f>
        <v>8</v>
      </c>
      <c r="P24" s="26">
        <f>IF(OR(ISBLANK(misuo[[#This Row],[تاريخ التسليم]]),ISBLANK(misuo[[#This Row],[ميعاد الطلب]])),0,misuo[[#This Row],[تاريخ التسليم]]-misuo[[#This Row],[ميعاد الطلب]])</f>
        <v>12</v>
      </c>
      <c r="Q24" s="27">
        <v>45544</v>
      </c>
      <c r="R24" s="27">
        <v>45552</v>
      </c>
      <c r="S24" s="27">
        <v>45556</v>
      </c>
      <c r="T24" s="21" t="s">
        <v>69</v>
      </c>
      <c r="U24" s="21" t="s">
        <v>68</v>
      </c>
    </row>
    <row r="25" spans="1:21" ht="20.100000000000001" customHeight="1" x14ac:dyDescent="0.3">
      <c r="A25" s="21" t="s">
        <v>32</v>
      </c>
      <c r="B25" s="21" t="str">
        <f>IF(OR(misuo[[#This Row],[أسم العميل]]="تاكي",misuo[[#This Row],[أسم العميل]]="شيك هومز",misuo[[#This Row],[أسم العميل]]="اوسكار راتن"),"شركات","افراد")</f>
        <v>شركات</v>
      </c>
      <c r="C25" s="21"/>
      <c r="D25" s="34" t="s">
        <v>286</v>
      </c>
      <c r="E25" s="21" t="s">
        <v>32</v>
      </c>
      <c r="F25" s="28" t="s">
        <v>5</v>
      </c>
      <c r="G25" s="28" t="s">
        <v>24</v>
      </c>
      <c r="H25" s="28" t="s">
        <v>31</v>
      </c>
      <c r="I25" s="28">
        <v>100</v>
      </c>
      <c r="J25" s="28" t="s">
        <v>2</v>
      </c>
      <c r="K25" s="28"/>
      <c r="L25" s="35" t="s">
        <v>192</v>
      </c>
      <c r="M25" s="25">
        <v>9208</v>
      </c>
      <c r="N25" s="21" t="s">
        <v>295</v>
      </c>
      <c r="O25" s="26">
        <f>IF(OR(ISBLANK(misuo[[#This Row],[ميعاد التسليم]]),ISBLANK(misuo[[#This Row],[ميعاد الطلب]])),0,misuo[[#This Row],[ميعاد التسليم]]-misuo[[#This Row],[ميعاد الطلب]])</f>
        <v>18</v>
      </c>
      <c r="P25" s="26">
        <f>IF(OR(ISBLANK(misuo[[#This Row],[تاريخ التسليم]]),ISBLANK(misuo[[#This Row],[ميعاد الطلب]])),0,misuo[[#This Row],[تاريخ التسليم]]-misuo[[#This Row],[ميعاد الطلب]])</f>
        <v>20</v>
      </c>
      <c r="Q25" s="27">
        <v>45536</v>
      </c>
      <c r="R25" s="27">
        <v>45554</v>
      </c>
      <c r="S25" s="27">
        <v>45556</v>
      </c>
      <c r="T25" s="21" t="s">
        <v>69</v>
      </c>
      <c r="U25" s="21" t="s">
        <v>68</v>
      </c>
    </row>
    <row r="26" spans="1:21" ht="20.100000000000001" customHeight="1" x14ac:dyDescent="0.3">
      <c r="A26" s="21" t="s">
        <v>32</v>
      </c>
      <c r="B26" s="21" t="str">
        <f>IF(OR(misuo[[#This Row],[أسم العميل]]="تاكي",misuo[[#This Row],[أسم العميل]]="شيك هومز",misuo[[#This Row],[أسم العميل]]="اوسكار راتن"),"شركات","افراد")</f>
        <v>شركات</v>
      </c>
      <c r="C26" s="21"/>
      <c r="D26" s="34" t="s">
        <v>286</v>
      </c>
      <c r="E26" s="21" t="s">
        <v>32</v>
      </c>
      <c r="F26" s="28" t="s">
        <v>5</v>
      </c>
      <c r="G26" s="28" t="s">
        <v>24</v>
      </c>
      <c r="H26" s="28" t="s">
        <v>31</v>
      </c>
      <c r="I26" s="28">
        <v>100</v>
      </c>
      <c r="J26" s="28" t="s">
        <v>15</v>
      </c>
      <c r="K26" s="28"/>
      <c r="L26" s="35" t="s">
        <v>191</v>
      </c>
      <c r="M26" s="25">
        <v>9208</v>
      </c>
      <c r="N26" s="21" t="s">
        <v>295</v>
      </c>
      <c r="O26" s="26">
        <f>IF(OR(ISBLANK(misuo[[#This Row],[ميعاد التسليم]]),ISBLANK(misuo[[#This Row],[ميعاد الطلب]])),0,misuo[[#This Row],[ميعاد التسليم]]-misuo[[#This Row],[ميعاد الطلب]])</f>
        <v>18</v>
      </c>
      <c r="P26" s="26">
        <f>IF(OR(ISBLANK(misuo[[#This Row],[تاريخ التسليم]]),ISBLANK(misuo[[#This Row],[ميعاد الطلب]])),0,misuo[[#This Row],[تاريخ التسليم]]-misuo[[#This Row],[ميعاد الطلب]])</f>
        <v>20</v>
      </c>
      <c r="Q26" s="27">
        <v>45536</v>
      </c>
      <c r="R26" s="27">
        <v>45554</v>
      </c>
      <c r="S26" s="27">
        <v>45556</v>
      </c>
      <c r="T26" s="21" t="s">
        <v>69</v>
      </c>
      <c r="U26" s="21" t="s">
        <v>68</v>
      </c>
    </row>
    <row r="27" spans="1:21" ht="20.100000000000001" customHeight="1" x14ac:dyDescent="0.3">
      <c r="A27" s="21" t="s">
        <v>37</v>
      </c>
      <c r="B27" s="21" t="str">
        <f>IF(OR(misuo[[#This Row],[أسم العميل]]="تاكي",misuo[[#This Row],[أسم العميل]]="شيك هومز",misuo[[#This Row],[أسم العميل]]="اوسكار راتن"),"شركات","افراد")</f>
        <v>شركات</v>
      </c>
      <c r="C27" s="21" t="s">
        <v>189</v>
      </c>
      <c r="D27" s="19" t="s">
        <v>287</v>
      </c>
      <c r="E27" s="21" t="s">
        <v>35</v>
      </c>
      <c r="F27" s="28" t="s">
        <v>5</v>
      </c>
      <c r="G27" s="28" t="s">
        <v>52</v>
      </c>
      <c r="H27" s="28" t="s">
        <v>51</v>
      </c>
      <c r="I27" s="28">
        <v>120</v>
      </c>
      <c r="J27" s="28" t="s">
        <v>2</v>
      </c>
      <c r="K27" s="28"/>
      <c r="L27" s="35" t="s">
        <v>190</v>
      </c>
      <c r="M27" s="25">
        <v>4020</v>
      </c>
      <c r="N27" s="21" t="s">
        <v>27</v>
      </c>
      <c r="O27" s="26">
        <f>IF(OR(ISBLANK(misuo[[#This Row],[ميعاد التسليم]]),ISBLANK(misuo[[#This Row],[ميعاد الطلب]])),0,misuo[[#This Row],[ميعاد التسليم]]-misuo[[#This Row],[ميعاد الطلب]])</f>
        <v>9</v>
      </c>
      <c r="P27" s="26">
        <f>IF(OR(ISBLANK(misuo[[#This Row],[تاريخ التسليم]]),ISBLANK(misuo[[#This Row],[ميعاد الطلب]])),0,misuo[[#This Row],[تاريخ التسليم]]-misuo[[#This Row],[ميعاد الطلب]])</f>
        <v>10</v>
      </c>
      <c r="Q27" s="27">
        <v>45547</v>
      </c>
      <c r="R27" s="27">
        <v>45556</v>
      </c>
      <c r="S27" s="27">
        <v>45557</v>
      </c>
      <c r="T27" s="21" t="s">
        <v>69</v>
      </c>
      <c r="U27" s="21" t="s">
        <v>68</v>
      </c>
    </row>
    <row r="28" spans="1:21" ht="20.100000000000001" customHeight="1" x14ac:dyDescent="0.3">
      <c r="A28" s="21" t="s">
        <v>37</v>
      </c>
      <c r="B28" s="21" t="str">
        <f>IF(OR(misuo[[#This Row],[أسم العميل]]="تاكي",misuo[[#This Row],[أسم العميل]]="شيك هومز",misuo[[#This Row],[أسم العميل]]="اوسكار راتن"),"شركات","افراد")</f>
        <v>شركات</v>
      </c>
      <c r="C28" s="21" t="s">
        <v>189</v>
      </c>
      <c r="D28" s="19" t="s">
        <v>287</v>
      </c>
      <c r="E28" s="21" t="s">
        <v>35</v>
      </c>
      <c r="F28" s="28" t="s">
        <v>5</v>
      </c>
      <c r="G28" s="28" t="s">
        <v>52</v>
      </c>
      <c r="H28" s="28" t="s">
        <v>51</v>
      </c>
      <c r="I28" s="28">
        <v>120</v>
      </c>
      <c r="J28" s="28" t="s">
        <v>2</v>
      </c>
      <c r="K28" s="28"/>
      <c r="L28" s="35" t="s">
        <v>190</v>
      </c>
      <c r="M28" s="25">
        <v>4020</v>
      </c>
      <c r="N28" s="21" t="s">
        <v>27</v>
      </c>
      <c r="O28" s="26">
        <f>IF(OR(ISBLANK(misuo[[#This Row],[ميعاد التسليم]]),ISBLANK(misuo[[#This Row],[ميعاد الطلب]])),0,misuo[[#This Row],[ميعاد التسليم]]-misuo[[#This Row],[ميعاد الطلب]])</f>
        <v>9</v>
      </c>
      <c r="P28" s="26">
        <f>IF(OR(ISBLANK(misuo[[#This Row],[تاريخ التسليم]]),ISBLANK(misuo[[#This Row],[ميعاد الطلب]])),0,misuo[[#This Row],[تاريخ التسليم]]-misuo[[#This Row],[ميعاد الطلب]])</f>
        <v>10</v>
      </c>
      <c r="Q28" s="27">
        <v>45547</v>
      </c>
      <c r="R28" s="27">
        <v>45556</v>
      </c>
      <c r="S28" s="27">
        <v>45557</v>
      </c>
      <c r="T28" s="21" t="s">
        <v>69</v>
      </c>
      <c r="U28" s="21" t="s">
        <v>68</v>
      </c>
    </row>
    <row r="29" spans="1:21" ht="20.100000000000001" customHeight="1" x14ac:dyDescent="0.3">
      <c r="A29" s="21" t="s">
        <v>37</v>
      </c>
      <c r="B29" s="21" t="str">
        <f>IF(OR(misuo[[#This Row],[أسم العميل]]="تاكي",misuo[[#This Row],[أسم العميل]]="شيك هومز",misuo[[#This Row],[أسم العميل]]="اوسكار راتن"),"شركات","افراد")</f>
        <v>شركات</v>
      </c>
      <c r="C29" s="21" t="s">
        <v>189</v>
      </c>
      <c r="D29" s="19" t="s">
        <v>287</v>
      </c>
      <c r="E29" s="21" t="s">
        <v>35</v>
      </c>
      <c r="F29" s="28" t="s">
        <v>5</v>
      </c>
      <c r="G29" s="28" t="s">
        <v>52</v>
      </c>
      <c r="H29" s="28" t="s">
        <v>188</v>
      </c>
      <c r="I29" s="28">
        <v>120</v>
      </c>
      <c r="J29" s="28" t="s">
        <v>15</v>
      </c>
      <c r="K29" s="28"/>
      <c r="L29" s="35" t="s">
        <v>187</v>
      </c>
      <c r="M29" s="25">
        <v>4020</v>
      </c>
      <c r="N29" s="21" t="s">
        <v>1</v>
      </c>
      <c r="O29" s="26">
        <f>IF(OR(ISBLANK(misuo[[#This Row],[ميعاد التسليم]]),ISBLANK(misuo[[#This Row],[ميعاد الطلب]])),0,misuo[[#This Row],[ميعاد التسليم]]-misuo[[#This Row],[ميعاد الطلب]])</f>
        <v>9</v>
      </c>
      <c r="P29" s="26">
        <f>IF(OR(ISBLANK(misuo[[#This Row],[تاريخ التسليم]]),ISBLANK(misuo[[#This Row],[ميعاد الطلب]])),0,misuo[[#This Row],[تاريخ التسليم]]-misuo[[#This Row],[ميعاد الطلب]])</f>
        <v>10</v>
      </c>
      <c r="Q29" s="27">
        <v>45547</v>
      </c>
      <c r="R29" s="27">
        <v>45556</v>
      </c>
      <c r="S29" s="27">
        <v>45557</v>
      </c>
      <c r="T29" s="21" t="s">
        <v>69</v>
      </c>
      <c r="U29" s="21" t="s">
        <v>68</v>
      </c>
    </row>
    <row r="30" spans="1:21" ht="20.100000000000001" customHeight="1" x14ac:dyDescent="0.3">
      <c r="A30" s="21" t="s">
        <v>37</v>
      </c>
      <c r="B30" s="21" t="str">
        <f>IF(OR(misuo[[#This Row],[أسم العميل]]="تاكي",misuo[[#This Row],[أسم العميل]]="شيك هومز",misuo[[#This Row],[أسم العميل]]="اوسكار راتن"),"شركات","افراد")</f>
        <v>شركات</v>
      </c>
      <c r="C30" s="21" t="s">
        <v>189</v>
      </c>
      <c r="D30" s="19" t="s">
        <v>287</v>
      </c>
      <c r="E30" s="21" t="s">
        <v>35</v>
      </c>
      <c r="F30" s="28" t="s">
        <v>5</v>
      </c>
      <c r="G30" s="28" t="s">
        <v>52</v>
      </c>
      <c r="H30" s="28" t="s">
        <v>188</v>
      </c>
      <c r="I30" s="28">
        <v>120</v>
      </c>
      <c r="J30" s="28" t="s">
        <v>15</v>
      </c>
      <c r="K30" s="28"/>
      <c r="L30" s="35" t="s">
        <v>187</v>
      </c>
      <c r="M30" s="25">
        <v>4020</v>
      </c>
      <c r="N30" s="21" t="s">
        <v>1</v>
      </c>
      <c r="O30" s="26">
        <f>IF(OR(ISBLANK(misuo[[#This Row],[ميعاد التسليم]]),ISBLANK(misuo[[#This Row],[ميعاد الطلب]])),0,misuo[[#This Row],[ميعاد التسليم]]-misuo[[#This Row],[ميعاد الطلب]])</f>
        <v>9</v>
      </c>
      <c r="P30" s="26">
        <f>IF(OR(ISBLANK(misuo[[#This Row],[تاريخ التسليم]]),ISBLANK(misuo[[#This Row],[ميعاد الطلب]])),0,misuo[[#This Row],[تاريخ التسليم]]-misuo[[#This Row],[ميعاد الطلب]])</f>
        <v>10</v>
      </c>
      <c r="Q30" s="27">
        <v>45547</v>
      </c>
      <c r="R30" s="27">
        <v>45556</v>
      </c>
      <c r="S30" s="27">
        <v>45557</v>
      </c>
      <c r="T30" s="21" t="s">
        <v>69</v>
      </c>
      <c r="U30" s="21" t="s">
        <v>68</v>
      </c>
    </row>
    <row r="31" spans="1:21" ht="20.100000000000001" customHeight="1" x14ac:dyDescent="0.3">
      <c r="A31" s="21" t="s">
        <v>186</v>
      </c>
      <c r="B31" s="21" t="str">
        <f>IF(OR(misuo[[#This Row],[أسم العميل]]="تاكي",misuo[[#This Row],[أسم العميل]]="شيك هومز",misuo[[#This Row],[أسم العميل]]="اوسكار راتن"),"شركات","افراد")</f>
        <v>افراد</v>
      </c>
      <c r="C31" s="21" t="s">
        <v>185</v>
      </c>
      <c r="D31" s="19" t="s">
        <v>284</v>
      </c>
      <c r="E31" s="17" t="s">
        <v>6</v>
      </c>
      <c r="F31" s="28" t="s">
        <v>41</v>
      </c>
      <c r="G31" s="28" t="s">
        <v>16</v>
      </c>
      <c r="H31" s="28"/>
      <c r="I31" s="28"/>
      <c r="J31" s="28"/>
      <c r="K31" s="28"/>
      <c r="L31" s="35" t="s">
        <v>184</v>
      </c>
      <c r="M31" s="25">
        <v>8349</v>
      </c>
      <c r="N31" s="21" t="s">
        <v>1</v>
      </c>
      <c r="O31" s="26">
        <f>IF(OR(ISBLANK(misuo[[#This Row],[ميعاد التسليم]]),ISBLANK(misuo[[#This Row],[ميعاد الطلب]])),0,misuo[[#This Row],[ميعاد التسليم]]-misuo[[#This Row],[ميعاد الطلب]])</f>
        <v>8</v>
      </c>
      <c r="P31" s="26">
        <f>IF(OR(ISBLANK(misuo[[#This Row],[تاريخ التسليم]]),ISBLANK(misuo[[#This Row],[ميعاد الطلب]])),0,misuo[[#This Row],[تاريخ التسليم]]-misuo[[#This Row],[ميعاد الطلب]])</f>
        <v>10</v>
      </c>
      <c r="Q31" s="27">
        <v>45549</v>
      </c>
      <c r="R31" s="27">
        <v>45557</v>
      </c>
      <c r="S31" s="27">
        <v>45559</v>
      </c>
      <c r="T31" s="21" t="s">
        <v>294</v>
      </c>
      <c r="U31" s="21" t="s">
        <v>68</v>
      </c>
    </row>
    <row r="32" spans="1:21" ht="20.100000000000001" customHeight="1" x14ac:dyDescent="0.3">
      <c r="A32" s="29" t="s">
        <v>252</v>
      </c>
      <c r="B32" s="29" t="str">
        <f>IF(OR(misuo[[#This Row],[أسم العميل]]="تاكي",misuo[[#This Row],[أسم العميل]]="شيك هومز",misuo[[#This Row],[أسم العميل]]="اوسكار راتن"),"شركات","افراد")</f>
        <v>افراد</v>
      </c>
      <c r="C32" s="29" t="s">
        <v>64</v>
      </c>
      <c r="D32" s="19" t="s">
        <v>283</v>
      </c>
      <c r="E32" s="17" t="s">
        <v>6</v>
      </c>
      <c r="F32" s="30" t="s">
        <v>5</v>
      </c>
      <c r="G32" s="30" t="s">
        <v>38</v>
      </c>
      <c r="H32" s="30"/>
      <c r="I32" s="30"/>
      <c r="J32" s="28" t="s">
        <v>15</v>
      </c>
      <c r="K32" s="28" t="s">
        <v>15</v>
      </c>
      <c r="L32" s="36" t="s">
        <v>183</v>
      </c>
      <c r="M32" s="31">
        <v>9399</v>
      </c>
      <c r="N32" s="21" t="s">
        <v>1</v>
      </c>
      <c r="O32" s="32">
        <f>IF(OR(ISBLANK(misuo[[#This Row],[ميعاد التسليم]]),ISBLANK(misuo[[#This Row],[ميعاد الطلب]])),0,misuo[[#This Row],[ميعاد التسليم]]-misuo[[#This Row],[ميعاد الطلب]])</f>
        <v>11</v>
      </c>
      <c r="P32" s="32">
        <f>IF(OR(ISBLANK(misuo[[#This Row],[تاريخ التسليم]]),ISBLANK(misuo[[#This Row],[ميعاد الطلب]])),0,misuo[[#This Row],[تاريخ التسليم]]-misuo[[#This Row],[ميعاد الطلب]])</f>
        <v>17</v>
      </c>
      <c r="Q32" s="33">
        <v>45548</v>
      </c>
      <c r="R32" s="33">
        <v>45559</v>
      </c>
      <c r="S32" s="33">
        <v>45565</v>
      </c>
      <c r="T32" s="21" t="s">
        <v>294</v>
      </c>
      <c r="U32" s="21" t="s">
        <v>68</v>
      </c>
    </row>
    <row r="33" spans="1:21" ht="20.100000000000001" customHeight="1" x14ac:dyDescent="0.3">
      <c r="A33" s="21" t="s">
        <v>253</v>
      </c>
      <c r="B33" s="21" t="str">
        <f>IF(OR(misuo[[#This Row],[أسم العميل]]="تاكي",misuo[[#This Row],[أسم العميل]]="شيك هومز",misuo[[#This Row],[أسم العميل]]="اوسكار راتن"),"شركات","افراد")</f>
        <v>افراد</v>
      </c>
      <c r="C33" s="21" t="s">
        <v>182</v>
      </c>
      <c r="D33" s="19" t="s">
        <v>282</v>
      </c>
      <c r="E33" s="17" t="s">
        <v>6</v>
      </c>
      <c r="F33" s="28" t="s">
        <v>41</v>
      </c>
      <c r="G33" s="28" t="s">
        <v>57</v>
      </c>
      <c r="H33" s="28"/>
      <c r="I33" s="28"/>
      <c r="J33" s="28"/>
      <c r="K33" s="28"/>
      <c r="L33" s="35" t="s">
        <v>56</v>
      </c>
      <c r="M33" s="25">
        <v>7849</v>
      </c>
      <c r="N33" s="21" t="s">
        <v>295</v>
      </c>
      <c r="O33" s="26">
        <f>IF(OR(ISBLANK(misuo[[#This Row],[ميعاد التسليم]]),ISBLANK(misuo[[#This Row],[ميعاد الطلب]])),0,misuo[[#This Row],[ميعاد التسليم]]-misuo[[#This Row],[ميعاد الطلب]])</f>
        <v>14</v>
      </c>
      <c r="P33" s="26">
        <f>IF(OR(ISBLANK(misuo[[#This Row],[تاريخ التسليم]]),ISBLANK(misuo[[#This Row],[ميعاد الطلب]])),0,misuo[[#This Row],[تاريخ التسليم]]-misuo[[#This Row],[ميعاد الطلب]])</f>
        <v>0</v>
      </c>
      <c r="Q33" s="27">
        <v>45547</v>
      </c>
      <c r="R33" s="27">
        <v>45561</v>
      </c>
      <c r="S33" s="27"/>
      <c r="T33" s="21" t="s">
        <v>294</v>
      </c>
      <c r="U33" s="21" t="s">
        <v>68</v>
      </c>
    </row>
    <row r="34" spans="1:21" ht="20.100000000000001" customHeight="1" x14ac:dyDescent="0.3">
      <c r="A34" s="29" t="s">
        <v>254</v>
      </c>
      <c r="B34" s="29" t="str">
        <f>IF(OR(misuo[[#This Row],[أسم العميل]]="تاكي",misuo[[#This Row],[أسم العميل]]="شيك هومز",misuo[[#This Row],[أسم العميل]]="اوسكار راتن"),"شركات","افراد")</f>
        <v>افراد</v>
      </c>
      <c r="C34" s="29" t="s">
        <v>17</v>
      </c>
      <c r="D34" s="19" t="s">
        <v>282</v>
      </c>
      <c r="E34" s="17" t="s">
        <v>6</v>
      </c>
      <c r="F34" s="30" t="s">
        <v>5</v>
      </c>
      <c r="G34" s="28" t="s">
        <v>52</v>
      </c>
      <c r="H34" s="28" t="s">
        <v>110</v>
      </c>
      <c r="I34" s="30">
        <v>120</v>
      </c>
      <c r="J34" s="30" t="s">
        <v>15</v>
      </c>
      <c r="K34" s="30"/>
      <c r="L34" s="36" t="s">
        <v>181</v>
      </c>
      <c r="M34" s="31">
        <v>7460</v>
      </c>
      <c r="N34" s="21" t="s">
        <v>1</v>
      </c>
      <c r="O34" s="32">
        <f>IF(OR(ISBLANK(misuo[[#This Row],[ميعاد التسليم]]),ISBLANK(misuo[[#This Row],[ميعاد الطلب]])),0,misuo[[#This Row],[ميعاد التسليم]]-misuo[[#This Row],[ميعاد الطلب]])</f>
        <v>13</v>
      </c>
      <c r="P34" s="32">
        <f>IF(OR(ISBLANK(misuo[[#This Row],[تاريخ التسليم]]),ISBLANK(misuo[[#This Row],[ميعاد الطلب]])),0,misuo[[#This Row],[تاريخ التسليم]]-misuo[[#This Row],[ميعاد الطلب]])</f>
        <v>20</v>
      </c>
      <c r="Q34" s="33">
        <v>45548</v>
      </c>
      <c r="R34" s="33">
        <v>45561</v>
      </c>
      <c r="S34" s="33">
        <v>45568</v>
      </c>
      <c r="T34" s="21" t="s">
        <v>69</v>
      </c>
      <c r="U34" s="21" t="s">
        <v>68</v>
      </c>
    </row>
    <row r="35" spans="1:21" ht="20.100000000000001" customHeight="1" x14ac:dyDescent="0.3">
      <c r="A35" s="29" t="s">
        <v>180</v>
      </c>
      <c r="B35" s="29" t="str">
        <f>IF(OR(misuo[[#This Row],[أسم العميل]]="تاكي",misuo[[#This Row],[أسم العميل]]="شيك هومز",misuo[[#This Row],[أسم العميل]]="اوسكار راتن"),"شركات","افراد")</f>
        <v>افراد</v>
      </c>
      <c r="C35" s="21" t="s">
        <v>17</v>
      </c>
      <c r="D35" s="19" t="s">
        <v>282</v>
      </c>
      <c r="E35" s="17" t="s">
        <v>6</v>
      </c>
      <c r="F35" s="30" t="s">
        <v>5</v>
      </c>
      <c r="G35" s="28" t="s">
        <v>52</v>
      </c>
      <c r="H35" s="30" t="s">
        <v>179</v>
      </c>
      <c r="I35" s="30">
        <v>140</v>
      </c>
      <c r="J35" s="30" t="s">
        <v>94</v>
      </c>
      <c r="K35" s="30" t="s">
        <v>45</v>
      </c>
      <c r="L35" s="36" t="s">
        <v>178</v>
      </c>
      <c r="M35" s="31">
        <v>9528</v>
      </c>
      <c r="N35" s="21" t="s">
        <v>1</v>
      </c>
      <c r="O35" s="32">
        <f>IF(OR(ISBLANK(misuo[[#This Row],[ميعاد التسليم]]),ISBLANK(misuo[[#This Row],[ميعاد الطلب]])),0,misuo[[#This Row],[ميعاد التسليم]]-misuo[[#This Row],[ميعاد الطلب]])</f>
        <v>13</v>
      </c>
      <c r="P35" s="32">
        <f>IF(OR(ISBLANK(misuo[[#This Row],[تاريخ التسليم]]),ISBLANK(misuo[[#This Row],[ميعاد الطلب]])),0,misuo[[#This Row],[تاريخ التسليم]]-misuo[[#This Row],[ميعاد الطلب]])</f>
        <v>20</v>
      </c>
      <c r="Q35" s="33">
        <v>45548</v>
      </c>
      <c r="R35" s="33">
        <v>45561</v>
      </c>
      <c r="S35" s="33">
        <v>45568</v>
      </c>
      <c r="T35" s="21" t="s">
        <v>69</v>
      </c>
      <c r="U35" s="21" t="s">
        <v>68</v>
      </c>
    </row>
    <row r="36" spans="1:21" ht="20.100000000000001" customHeight="1" x14ac:dyDescent="0.3">
      <c r="A36" s="21" t="s">
        <v>255</v>
      </c>
      <c r="B36" s="21" t="str">
        <f>IF(OR(misuo[[#This Row],[أسم العميل]]="تاكي",misuo[[#This Row],[أسم العميل]]="شيك هومز",misuo[[#This Row],[أسم العميل]]="اوسكار راتن"),"شركات","افراد")</f>
        <v>افراد</v>
      </c>
      <c r="C36" s="21" t="s">
        <v>64</v>
      </c>
      <c r="D36" s="19" t="s">
        <v>283</v>
      </c>
      <c r="E36" s="17" t="s">
        <v>6</v>
      </c>
      <c r="F36" s="28" t="s">
        <v>5</v>
      </c>
      <c r="G36" s="28" t="s">
        <v>24</v>
      </c>
      <c r="H36" s="28" t="s">
        <v>23</v>
      </c>
      <c r="I36" s="28">
        <v>120</v>
      </c>
      <c r="J36" s="28" t="s">
        <v>45</v>
      </c>
      <c r="K36" s="28"/>
      <c r="L36" s="35" t="s">
        <v>177</v>
      </c>
      <c r="M36" s="25">
        <v>12999</v>
      </c>
      <c r="N36" s="21" t="s">
        <v>1</v>
      </c>
      <c r="O36" s="26">
        <f>IF(OR(ISBLANK(misuo[[#This Row],[ميعاد التسليم]]),ISBLANK(misuo[[#This Row],[ميعاد الطلب]])),0,misuo[[#This Row],[ميعاد التسليم]]-misuo[[#This Row],[ميعاد الطلب]])</f>
        <v>13</v>
      </c>
      <c r="P36" s="26">
        <f>IF(OR(ISBLANK(misuo[[#This Row],[تاريخ التسليم]]),ISBLANK(misuo[[#This Row],[ميعاد الطلب]])),0,misuo[[#This Row],[تاريخ التسليم]]-misuo[[#This Row],[ميعاد الطلب]])</f>
        <v>18</v>
      </c>
      <c r="Q36" s="27">
        <v>45549</v>
      </c>
      <c r="R36" s="27">
        <v>45562</v>
      </c>
      <c r="S36" s="27">
        <v>45567</v>
      </c>
      <c r="T36" s="21" t="s">
        <v>69</v>
      </c>
      <c r="U36" s="21" t="s">
        <v>68</v>
      </c>
    </row>
    <row r="37" spans="1:21" ht="20.100000000000001" customHeight="1" x14ac:dyDescent="0.3">
      <c r="A37" s="21" t="s">
        <v>256</v>
      </c>
      <c r="B37" s="21" t="str">
        <f>IF(OR(misuo[[#This Row],[أسم العميل]]="تاكي",misuo[[#This Row],[أسم العميل]]="شيك هومز",misuo[[#This Row],[أسم العميل]]="اوسكار راتن"),"شركات","افراد")</f>
        <v>افراد</v>
      </c>
      <c r="C37" s="21" t="s">
        <v>176</v>
      </c>
      <c r="D37" s="19" t="s">
        <v>283</v>
      </c>
      <c r="E37" s="17" t="s">
        <v>6</v>
      </c>
      <c r="F37" s="28" t="s">
        <v>5</v>
      </c>
      <c r="G37" s="28" t="s">
        <v>24</v>
      </c>
      <c r="H37" s="28" t="s">
        <v>23</v>
      </c>
      <c r="I37" s="28">
        <v>100</v>
      </c>
      <c r="J37" s="28" t="s">
        <v>15</v>
      </c>
      <c r="K37" s="28"/>
      <c r="L37" s="35" t="s">
        <v>175</v>
      </c>
      <c r="M37" s="25">
        <v>11949</v>
      </c>
      <c r="N37" s="21" t="s">
        <v>295</v>
      </c>
      <c r="O37" s="26">
        <f>IF(OR(ISBLANK(misuo[[#This Row],[ميعاد التسليم]]),ISBLANK(misuo[[#This Row],[ميعاد الطلب]])),0,misuo[[#This Row],[ميعاد التسليم]]-misuo[[#This Row],[ميعاد الطلب]])</f>
        <v>17</v>
      </c>
      <c r="P37" s="26">
        <f>IF(OR(ISBLANK(misuo[[#This Row],[تاريخ التسليم]]),ISBLANK(misuo[[#This Row],[ميعاد الطلب]])),0,misuo[[#This Row],[تاريخ التسليم]]-misuo[[#This Row],[ميعاد الطلب]])</f>
        <v>20</v>
      </c>
      <c r="Q37" s="27">
        <v>45547</v>
      </c>
      <c r="R37" s="27">
        <v>45564</v>
      </c>
      <c r="S37" s="27">
        <v>45567</v>
      </c>
      <c r="T37" s="21" t="s">
        <v>69</v>
      </c>
      <c r="U37" s="21" t="s">
        <v>68</v>
      </c>
    </row>
    <row r="38" spans="1:21" ht="20.100000000000001" customHeight="1" x14ac:dyDescent="0.3">
      <c r="A38" s="21" t="s">
        <v>256</v>
      </c>
      <c r="B38" s="21" t="str">
        <f>IF(OR(misuo[[#This Row],[أسم العميل]]="تاكي",misuo[[#This Row],[أسم العميل]]="شيك هومز",misuo[[#This Row],[أسم العميل]]="اوسكار راتن"),"شركات","افراد")</f>
        <v>افراد</v>
      </c>
      <c r="C38" s="21" t="s">
        <v>176</v>
      </c>
      <c r="D38" s="19" t="s">
        <v>283</v>
      </c>
      <c r="E38" s="17" t="s">
        <v>6</v>
      </c>
      <c r="F38" s="28" t="s">
        <v>5</v>
      </c>
      <c r="G38" s="28" t="s">
        <v>24</v>
      </c>
      <c r="H38" s="28" t="s">
        <v>23</v>
      </c>
      <c r="I38" s="28">
        <v>100</v>
      </c>
      <c r="J38" s="28" t="s">
        <v>15</v>
      </c>
      <c r="K38" s="28"/>
      <c r="L38" s="35" t="s">
        <v>175</v>
      </c>
      <c r="M38" s="25">
        <v>11949</v>
      </c>
      <c r="N38" s="21" t="s">
        <v>295</v>
      </c>
      <c r="O38" s="26">
        <f>IF(OR(ISBLANK(misuo[[#This Row],[ميعاد التسليم]]),ISBLANK(misuo[[#This Row],[ميعاد الطلب]])),0,misuo[[#This Row],[ميعاد التسليم]]-misuo[[#This Row],[ميعاد الطلب]])</f>
        <v>17</v>
      </c>
      <c r="P38" s="26">
        <f>IF(OR(ISBLANK(misuo[[#This Row],[تاريخ التسليم]]),ISBLANK(misuo[[#This Row],[ميعاد الطلب]])),0,misuo[[#This Row],[تاريخ التسليم]]-misuo[[#This Row],[ميعاد الطلب]])</f>
        <v>20</v>
      </c>
      <c r="Q38" s="27">
        <v>45547</v>
      </c>
      <c r="R38" s="27">
        <v>45564</v>
      </c>
      <c r="S38" s="27">
        <v>45567</v>
      </c>
      <c r="T38" s="21" t="s">
        <v>69</v>
      </c>
      <c r="U38" s="21" t="s">
        <v>68</v>
      </c>
    </row>
    <row r="39" spans="1:21" ht="20.100000000000001" customHeight="1" x14ac:dyDescent="0.3">
      <c r="A39" s="29" t="s">
        <v>248</v>
      </c>
      <c r="B39" s="29" t="str">
        <f>IF(OR(misuo[[#This Row],[أسم العميل]]="تاكي",misuo[[#This Row],[أسم العميل]]="شيك هومز",misuo[[#This Row],[أسم العميل]]="اوسكار راتن"),"شركات","افراد")</f>
        <v>افراد</v>
      </c>
      <c r="C39" s="29" t="s">
        <v>154</v>
      </c>
      <c r="D39" s="19" t="s">
        <v>282</v>
      </c>
      <c r="E39" s="17" t="s">
        <v>6</v>
      </c>
      <c r="F39" s="30" t="s">
        <v>5</v>
      </c>
      <c r="G39" s="28" t="s">
        <v>168</v>
      </c>
      <c r="H39" s="28" t="s">
        <v>23</v>
      </c>
      <c r="I39" s="30">
        <v>80</v>
      </c>
      <c r="J39" s="30" t="s">
        <v>2</v>
      </c>
      <c r="K39" s="30"/>
      <c r="L39" s="36" t="s">
        <v>174</v>
      </c>
      <c r="M39" s="31">
        <v>16599</v>
      </c>
      <c r="N39" s="21" t="s">
        <v>1</v>
      </c>
      <c r="O39" s="32">
        <f>IF(OR(ISBLANK(misuo[[#This Row],[ميعاد التسليم]]),ISBLANK(misuo[[#This Row],[ميعاد الطلب]])),0,misuo[[#This Row],[ميعاد التسليم]]-misuo[[#This Row],[ميعاد الطلب]])</f>
        <v>17</v>
      </c>
      <c r="P39" s="32">
        <f>IF(OR(ISBLANK(misuo[[#This Row],[تاريخ التسليم]]),ISBLANK(misuo[[#This Row],[ميعاد الطلب]])),0,misuo[[#This Row],[تاريخ التسليم]]-misuo[[#This Row],[ميعاد الطلب]])</f>
        <v>20</v>
      </c>
      <c r="Q39" s="33">
        <v>45548</v>
      </c>
      <c r="R39" s="33">
        <v>45565</v>
      </c>
      <c r="S39" s="33">
        <v>45568</v>
      </c>
      <c r="T39" s="21" t="s">
        <v>69</v>
      </c>
      <c r="U39" s="21" t="s">
        <v>68</v>
      </c>
    </row>
    <row r="40" spans="1:21" ht="20.100000000000001" customHeight="1" x14ac:dyDescent="0.3">
      <c r="A40" s="29" t="s">
        <v>257</v>
      </c>
      <c r="B40" s="29" t="str">
        <f>IF(OR(misuo[[#This Row],[أسم العميل]]="تاكي",misuo[[#This Row],[أسم العميل]]="شيك هومز",misuo[[#This Row],[أسم العميل]]="اوسكار راتن"),"شركات","افراد")</f>
        <v>افراد</v>
      </c>
      <c r="C40" s="29" t="s">
        <v>173</v>
      </c>
      <c r="D40" s="19" t="s">
        <v>285</v>
      </c>
      <c r="E40" s="17" t="s">
        <v>6</v>
      </c>
      <c r="F40" s="30" t="s">
        <v>5</v>
      </c>
      <c r="G40" s="28" t="s">
        <v>24</v>
      </c>
      <c r="H40" s="28" t="s">
        <v>23</v>
      </c>
      <c r="I40" s="28">
        <v>80</v>
      </c>
      <c r="J40" s="28" t="s">
        <v>2</v>
      </c>
      <c r="K40" s="28"/>
      <c r="L40" s="36" t="s">
        <v>169</v>
      </c>
      <c r="M40" s="31">
        <v>10999</v>
      </c>
      <c r="N40" s="21" t="s">
        <v>1</v>
      </c>
      <c r="O40" s="32">
        <f>IF(OR(ISBLANK(misuo[[#This Row],[ميعاد التسليم]]),ISBLANK(misuo[[#This Row],[ميعاد الطلب]])),0,misuo[[#This Row],[ميعاد التسليم]]-misuo[[#This Row],[ميعاد الطلب]])</f>
        <v>17</v>
      </c>
      <c r="P40" s="32">
        <f>IF(OR(ISBLANK(misuo[[#This Row],[تاريخ التسليم]]),ISBLANK(misuo[[#This Row],[ميعاد الطلب]])),0,misuo[[#This Row],[تاريخ التسليم]]-misuo[[#This Row],[ميعاد الطلب]])</f>
        <v>33</v>
      </c>
      <c r="Q40" s="33">
        <v>45548</v>
      </c>
      <c r="R40" s="33">
        <v>45565</v>
      </c>
      <c r="S40" s="33">
        <v>45581</v>
      </c>
      <c r="T40" s="21" t="s">
        <v>294</v>
      </c>
      <c r="U40" s="21" t="s">
        <v>68</v>
      </c>
    </row>
    <row r="41" spans="1:21" ht="20.100000000000001" customHeight="1" x14ac:dyDescent="0.3">
      <c r="A41" s="29" t="s">
        <v>258</v>
      </c>
      <c r="B41" s="29" t="str">
        <f>IF(OR(misuo[[#This Row],[أسم العميل]]="تاكي",misuo[[#This Row],[أسم العميل]]="شيك هومز",misuo[[#This Row],[أسم العميل]]="اوسكار راتن"),"شركات","افراد")</f>
        <v>افراد</v>
      </c>
      <c r="C41" s="29" t="s">
        <v>172</v>
      </c>
      <c r="D41" s="19" t="s">
        <v>133</v>
      </c>
      <c r="E41" s="17" t="s">
        <v>6</v>
      </c>
      <c r="F41" s="30" t="s">
        <v>5</v>
      </c>
      <c r="G41" s="28" t="s">
        <v>24</v>
      </c>
      <c r="H41" s="28" t="s">
        <v>23</v>
      </c>
      <c r="I41" s="30">
        <v>140</v>
      </c>
      <c r="J41" s="30" t="s">
        <v>81</v>
      </c>
      <c r="K41" s="30"/>
      <c r="L41" s="36" t="s">
        <v>171</v>
      </c>
      <c r="M41" s="31">
        <v>13099</v>
      </c>
      <c r="N41" s="21" t="s">
        <v>1</v>
      </c>
      <c r="O41" s="32">
        <f>IF(OR(ISBLANK(misuo[[#This Row],[ميعاد التسليم]]),ISBLANK(misuo[[#This Row],[ميعاد الطلب]])),0,misuo[[#This Row],[ميعاد التسليم]]-misuo[[#This Row],[ميعاد الطلب]])</f>
        <v>17</v>
      </c>
      <c r="P41" s="32">
        <f>IF(OR(ISBLANK(misuo[[#This Row],[تاريخ التسليم]]),ISBLANK(misuo[[#This Row],[ميعاد الطلب]])),0,misuo[[#This Row],[تاريخ التسليم]]-misuo[[#This Row],[ميعاد الطلب]])</f>
        <v>20</v>
      </c>
      <c r="Q41" s="33">
        <v>45548</v>
      </c>
      <c r="R41" s="33">
        <v>45565</v>
      </c>
      <c r="S41" s="33">
        <v>45568</v>
      </c>
      <c r="T41" s="21" t="s">
        <v>294</v>
      </c>
      <c r="U41" s="21" t="s">
        <v>68</v>
      </c>
    </row>
    <row r="42" spans="1:21" ht="20.100000000000001" customHeight="1" x14ac:dyDescent="0.3">
      <c r="A42" s="29" t="s">
        <v>259</v>
      </c>
      <c r="B42" s="29" t="str">
        <f>IF(OR(misuo[[#This Row],[أسم العميل]]="تاكي",misuo[[#This Row],[أسم العميل]]="شيك هومز",misuo[[#This Row],[أسم العميل]]="اوسكار راتن"),"شركات","افراد")</f>
        <v>افراد</v>
      </c>
      <c r="C42" s="21" t="s">
        <v>64</v>
      </c>
      <c r="D42" s="19" t="s">
        <v>283</v>
      </c>
      <c r="E42" s="17" t="s">
        <v>6</v>
      </c>
      <c r="F42" s="30" t="s">
        <v>5</v>
      </c>
      <c r="G42" s="28" t="s">
        <v>24</v>
      </c>
      <c r="H42" s="28" t="s">
        <v>31</v>
      </c>
      <c r="I42" s="28">
        <v>120</v>
      </c>
      <c r="J42" s="28" t="s">
        <v>105</v>
      </c>
      <c r="K42" s="28"/>
      <c r="L42" s="36" t="s">
        <v>170</v>
      </c>
      <c r="M42" s="31">
        <v>13849</v>
      </c>
      <c r="N42" s="21" t="s">
        <v>1</v>
      </c>
      <c r="O42" s="32">
        <f>IF(OR(ISBLANK(misuo[[#This Row],[ميعاد التسليم]]),ISBLANK(misuo[[#This Row],[ميعاد الطلب]])),0,misuo[[#This Row],[ميعاد التسليم]]-misuo[[#This Row],[ميعاد الطلب]])</f>
        <v>17</v>
      </c>
      <c r="P42" s="32">
        <f>IF(OR(ISBLANK(misuo[[#This Row],[تاريخ التسليم]]),ISBLANK(misuo[[#This Row],[ميعاد الطلب]])),0,misuo[[#This Row],[تاريخ التسليم]]-misuo[[#This Row],[ميعاد الطلب]])</f>
        <v>37</v>
      </c>
      <c r="Q42" s="33">
        <v>45548</v>
      </c>
      <c r="R42" s="33">
        <v>45565</v>
      </c>
      <c r="S42" s="27">
        <v>45585</v>
      </c>
      <c r="T42" s="21" t="s">
        <v>69</v>
      </c>
      <c r="U42" s="21" t="s">
        <v>68</v>
      </c>
    </row>
    <row r="43" spans="1:21" ht="20.100000000000001" customHeight="1" x14ac:dyDescent="0.3">
      <c r="A43" s="29" t="s">
        <v>260</v>
      </c>
      <c r="B43" s="29" t="str">
        <f>IF(OR(misuo[[#This Row],[أسم العميل]]="تاكي",misuo[[#This Row],[أسم العميل]]="شيك هومز",misuo[[#This Row],[أسم العميل]]="اوسكار راتن"),"شركات","افراد")</f>
        <v>افراد</v>
      </c>
      <c r="C43" s="29" t="s">
        <v>127</v>
      </c>
      <c r="D43" s="19" t="s">
        <v>282</v>
      </c>
      <c r="E43" s="17" t="s">
        <v>6</v>
      </c>
      <c r="F43" s="21" t="s">
        <v>209</v>
      </c>
      <c r="G43" s="30" t="s">
        <v>46</v>
      </c>
      <c r="H43" s="30"/>
      <c r="I43" s="30"/>
      <c r="J43" s="30" t="s">
        <v>15</v>
      </c>
      <c r="K43" s="30" t="s">
        <v>45</v>
      </c>
      <c r="L43" s="36" t="s">
        <v>44</v>
      </c>
      <c r="M43" s="31">
        <v>21999</v>
      </c>
      <c r="N43" s="21" t="s">
        <v>1</v>
      </c>
      <c r="O43" s="32">
        <f>IF(OR(ISBLANK(misuo[[#This Row],[ميعاد التسليم]]),ISBLANK(misuo[[#This Row],[ميعاد الطلب]])),0,misuo[[#This Row],[ميعاد التسليم]]-misuo[[#This Row],[ميعاد الطلب]])</f>
        <v>17</v>
      </c>
      <c r="P43" s="32">
        <f>IF(OR(ISBLANK(misuo[[#This Row],[تاريخ التسليم]]),ISBLANK(misuo[[#This Row],[ميعاد الطلب]])),0,misuo[[#This Row],[تاريخ التسليم]]-misuo[[#This Row],[ميعاد الطلب]])</f>
        <v>0</v>
      </c>
      <c r="Q43" s="33">
        <v>45548</v>
      </c>
      <c r="R43" s="33">
        <v>45565</v>
      </c>
      <c r="S43" s="27"/>
      <c r="T43" s="21" t="s">
        <v>69</v>
      </c>
      <c r="U43" s="21" t="s">
        <v>68</v>
      </c>
    </row>
    <row r="44" spans="1:21" ht="20.100000000000001" customHeight="1" x14ac:dyDescent="0.3">
      <c r="A44" s="29" t="s">
        <v>261</v>
      </c>
      <c r="B44" s="29" t="str">
        <f>IF(OR(misuo[[#This Row],[أسم العميل]]="تاكي",misuo[[#This Row],[أسم العميل]]="شيك هومز",misuo[[#This Row],[أسم العميل]]="اوسكار راتن"),"شركات","افراد")</f>
        <v>افراد</v>
      </c>
      <c r="C44" s="29" t="s">
        <v>64</v>
      </c>
      <c r="D44" s="19" t="s">
        <v>283</v>
      </c>
      <c r="E44" s="17" t="s">
        <v>6</v>
      </c>
      <c r="F44" s="30" t="s">
        <v>5</v>
      </c>
      <c r="G44" s="28" t="s">
        <v>24</v>
      </c>
      <c r="H44" s="28" t="s">
        <v>23</v>
      </c>
      <c r="I44" s="28">
        <v>80</v>
      </c>
      <c r="J44" s="28" t="s">
        <v>2</v>
      </c>
      <c r="K44" s="28"/>
      <c r="L44" s="36" t="s">
        <v>169</v>
      </c>
      <c r="M44" s="31">
        <v>10999</v>
      </c>
      <c r="N44" s="21" t="s">
        <v>1</v>
      </c>
      <c r="O44" s="32">
        <f>IF(OR(ISBLANK(misuo[[#This Row],[ميعاد التسليم]]),ISBLANK(misuo[[#This Row],[ميعاد الطلب]])),0,misuo[[#This Row],[ميعاد التسليم]]-misuo[[#This Row],[ميعاد الطلب]])</f>
        <v>17</v>
      </c>
      <c r="P44" s="32">
        <f>IF(OR(ISBLANK(misuo[[#This Row],[تاريخ التسليم]]),ISBLANK(misuo[[#This Row],[ميعاد الطلب]])),0,misuo[[#This Row],[تاريخ التسليم]]-misuo[[#This Row],[ميعاد الطلب]])</f>
        <v>32</v>
      </c>
      <c r="Q44" s="33">
        <v>45548</v>
      </c>
      <c r="R44" s="33">
        <v>45565</v>
      </c>
      <c r="S44" s="33">
        <v>45580</v>
      </c>
      <c r="T44" s="21" t="s">
        <v>69</v>
      </c>
      <c r="U44" s="21" t="s">
        <v>68</v>
      </c>
    </row>
    <row r="45" spans="1:21" ht="20.100000000000001" customHeight="1" x14ac:dyDescent="0.3">
      <c r="A45" s="29" t="s">
        <v>262</v>
      </c>
      <c r="B45" s="29" t="str">
        <f>IF(OR(misuo[[#This Row],[أسم العميل]]="تاكي",misuo[[#This Row],[أسم العميل]]="شيك هومز",misuo[[#This Row],[أسم العميل]]="اوسكار راتن"),"شركات","افراد")</f>
        <v>افراد</v>
      </c>
      <c r="C45" s="29" t="s">
        <v>58</v>
      </c>
      <c r="D45" s="19" t="s">
        <v>282</v>
      </c>
      <c r="E45" s="17" t="s">
        <v>6</v>
      </c>
      <c r="F45" s="30" t="s">
        <v>5</v>
      </c>
      <c r="G45" s="28" t="s">
        <v>168</v>
      </c>
      <c r="H45" s="28" t="s">
        <v>23</v>
      </c>
      <c r="I45" s="30">
        <v>90</v>
      </c>
      <c r="J45" s="30" t="s">
        <v>15</v>
      </c>
      <c r="K45" s="30"/>
      <c r="L45" s="36" t="s">
        <v>167</v>
      </c>
      <c r="M45" s="31">
        <v>17249</v>
      </c>
      <c r="N45" s="21" t="s">
        <v>1</v>
      </c>
      <c r="O45" s="32">
        <f>IF(OR(ISBLANK(misuo[[#This Row],[ميعاد التسليم]]),ISBLANK(misuo[[#This Row],[ميعاد الطلب]])),0,misuo[[#This Row],[ميعاد التسليم]]-misuo[[#This Row],[ميعاد الطلب]])</f>
        <v>17</v>
      </c>
      <c r="P45" s="32">
        <f>IF(OR(ISBLANK(misuo[[#This Row],[تاريخ التسليم]]),ISBLANK(misuo[[#This Row],[ميعاد الطلب]])),0,misuo[[#This Row],[تاريخ التسليم]]-misuo[[#This Row],[ميعاد الطلب]])</f>
        <v>21</v>
      </c>
      <c r="Q45" s="33">
        <v>45548</v>
      </c>
      <c r="R45" s="33">
        <v>45565</v>
      </c>
      <c r="S45" s="33">
        <v>45569</v>
      </c>
      <c r="T45" s="21" t="s">
        <v>69</v>
      </c>
      <c r="U45" s="21" t="s">
        <v>68</v>
      </c>
    </row>
    <row r="46" spans="1:21" ht="20.100000000000001" customHeight="1" x14ac:dyDescent="0.3">
      <c r="A46" s="21" t="s">
        <v>263</v>
      </c>
      <c r="B46" s="21" t="str">
        <f>IF(OR(misuo[[#This Row],[أسم العميل]]="تاكي",misuo[[#This Row],[أسم العميل]]="شيك هومز",misuo[[#This Row],[أسم العميل]]="اوسكار راتن"),"شركات","افراد")</f>
        <v>افراد</v>
      </c>
      <c r="C46" s="21" t="s">
        <v>166</v>
      </c>
      <c r="D46" s="19" t="s">
        <v>283</v>
      </c>
      <c r="E46" s="17" t="s">
        <v>6</v>
      </c>
      <c r="F46" s="28" t="s">
        <v>41</v>
      </c>
      <c r="G46" s="28" t="s">
        <v>57</v>
      </c>
      <c r="H46" s="28"/>
      <c r="I46" s="28"/>
      <c r="J46" s="28"/>
      <c r="K46" s="28"/>
      <c r="L46" s="35" t="s">
        <v>165</v>
      </c>
      <c r="M46" s="25">
        <v>8349</v>
      </c>
      <c r="N46" s="21" t="s">
        <v>1</v>
      </c>
      <c r="O46" s="26">
        <f>IF(OR(ISBLANK(misuo[[#This Row],[ميعاد التسليم]]),ISBLANK(misuo[[#This Row],[ميعاد الطلب]])),0,misuo[[#This Row],[ميعاد التسليم]]-misuo[[#This Row],[ميعاد الطلب]])</f>
        <v>32</v>
      </c>
      <c r="P46" s="26">
        <f>IF(OR(ISBLANK(misuo[[#This Row],[تاريخ التسليم]]),ISBLANK(misuo[[#This Row],[ميعاد الطلب]])),0,misuo[[#This Row],[تاريخ التسليم]]-misuo[[#This Row],[ميعاد الطلب]])</f>
        <v>37</v>
      </c>
      <c r="Q46" s="27">
        <v>45549</v>
      </c>
      <c r="R46" s="27">
        <v>45581</v>
      </c>
      <c r="S46" s="27">
        <v>45586</v>
      </c>
      <c r="T46" s="21" t="s">
        <v>69</v>
      </c>
      <c r="U46" s="21" t="s">
        <v>68</v>
      </c>
    </row>
    <row r="47" spans="1:21" ht="20.100000000000001" customHeight="1" x14ac:dyDescent="0.3">
      <c r="A47" s="21" t="s">
        <v>264</v>
      </c>
      <c r="B47" s="21" t="str">
        <f>IF(OR(misuo[[#This Row],[أسم العميل]]="تاكي",misuo[[#This Row],[أسم العميل]]="شيك هومز",misuo[[#This Row],[أسم العميل]]="اوسكار راتن"),"شركات","افراد")</f>
        <v>افراد</v>
      </c>
      <c r="C47" s="21" t="s">
        <v>151</v>
      </c>
      <c r="D47" s="19" t="s">
        <v>282</v>
      </c>
      <c r="E47" s="17" t="s">
        <v>6</v>
      </c>
      <c r="F47" s="28" t="s">
        <v>41</v>
      </c>
      <c r="G47" s="30" t="s">
        <v>164</v>
      </c>
      <c r="H47" s="30"/>
      <c r="I47" s="30"/>
      <c r="J47" s="30"/>
      <c r="K47" s="30"/>
      <c r="L47" s="35" t="s">
        <v>163</v>
      </c>
      <c r="M47" s="31">
        <v>7849</v>
      </c>
      <c r="N47" s="21" t="s">
        <v>1</v>
      </c>
      <c r="O47" s="32">
        <f>IF(OR(ISBLANK(misuo[[#This Row],[ميعاد التسليم]]),ISBLANK(misuo[[#This Row],[ميعاد الطلب]])),0,misuo[[#This Row],[ميعاد التسليم]]-misuo[[#This Row],[ميعاد الطلب]])</f>
        <v>45</v>
      </c>
      <c r="P47" s="32">
        <f>IF(OR(ISBLANK(misuo[[#This Row],[تاريخ التسليم]]),ISBLANK(misuo[[#This Row],[ميعاد الطلب]])),0,misuo[[#This Row],[تاريخ التسليم]]-misuo[[#This Row],[ميعاد الطلب]])</f>
        <v>46</v>
      </c>
      <c r="Q47" s="33">
        <v>45549</v>
      </c>
      <c r="R47" s="33">
        <v>45594</v>
      </c>
      <c r="S47" s="33">
        <v>45595</v>
      </c>
      <c r="T47" s="21" t="s">
        <v>69</v>
      </c>
      <c r="U47" s="21" t="s">
        <v>68</v>
      </c>
    </row>
    <row r="48" spans="1:21" ht="20.100000000000001" customHeight="1" x14ac:dyDescent="0.3">
      <c r="A48" s="21" t="s">
        <v>162</v>
      </c>
      <c r="B48" s="21" t="str">
        <f>IF(OR(misuo[[#This Row],[أسم العميل]]="تاكي",misuo[[#This Row],[أسم العميل]]="شيك هومز",misuo[[#This Row],[أسم العميل]]="اوسكار راتن"),"شركات","افراد")</f>
        <v>افراد</v>
      </c>
      <c r="C48" s="29" t="s">
        <v>64</v>
      </c>
      <c r="D48" s="19" t="s">
        <v>283</v>
      </c>
      <c r="E48" s="17" t="s">
        <v>6</v>
      </c>
      <c r="F48" s="30" t="s">
        <v>5</v>
      </c>
      <c r="G48" s="30" t="s">
        <v>38</v>
      </c>
      <c r="H48" s="30"/>
      <c r="I48" s="30"/>
      <c r="J48" s="28" t="s">
        <v>15</v>
      </c>
      <c r="K48" s="28" t="s">
        <v>15</v>
      </c>
      <c r="L48" s="36" t="s">
        <v>161</v>
      </c>
      <c r="M48" s="31">
        <v>9399</v>
      </c>
      <c r="N48" s="21" t="s">
        <v>1</v>
      </c>
      <c r="O48" s="32">
        <f>IF(OR(ISBLANK(misuo[[#This Row],[ميعاد التسليم]]),ISBLANK(misuo[[#This Row],[ميعاد الطلب]])),0,misuo[[#This Row],[ميعاد التسليم]]-misuo[[#This Row],[ميعاد الطلب]])</f>
        <v>45</v>
      </c>
      <c r="P48" s="32">
        <f>IF(OR(ISBLANK(misuo[[#This Row],[تاريخ التسليم]]),ISBLANK(misuo[[#This Row],[ميعاد الطلب]])),0,misuo[[#This Row],[تاريخ التسليم]]-misuo[[#This Row],[ميعاد الطلب]])</f>
        <v>31</v>
      </c>
      <c r="Q48" s="33">
        <v>45549</v>
      </c>
      <c r="R48" s="33">
        <v>45594</v>
      </c>
      <c r="S48" s="33">
        <v>45580</v>
      </c>
      <c r="T48" s="21" t="s">
        <v>69</v>
      </c>
      <c r="U48" s="21" t="s">
        <v>68</v>
      </c>
    </row>
    <row r="49" spans="1:21" ht="20.100000000000001" customHeight="1" x14ac:dyDescent="0.3">
      <c r="A49" s="21" t="s">
        <v>265</v>
      </c>
      <c r="B49" s="21" t="str">
        <f>IF(OR(misuo[[#This Row],[أسم العميل]]="تاكي",misuo[[#This Row],[أسم العميل]]="شيك هومز",misuo[[#This Row],[أسم العميل]]="اوسكار راتن"),"شركات","افراد")</f>
        <v>افراد</v>
      </c>
      <c r="C49" s="21" t="s">
        <v>160</v>
      </c>
      <c r="D49" s="19" t="s">
        <v>283</v>
      </c>
      <c r="E49" s="17" t="s">
        <v>6</v>
      </c>
      <c r="F49" s="30" t="s">
        <v>5</v>
      </c>
      <c r="G49" s="28" t="s">
        <v>52</v>
      </c>
      <c r="H49" s="28" t="s">
        <v>110</v>
      </c>
      <c r="I49" s="30">
        <v>140</v>
      </c>
      <c r="J49" s="30" t="s">
        <v>15</v>
      </c>
      <c r="K49" s="30"/>
      <c r="L49" s="35" t="s">
        <v>159</v>
      </c>
      <c r="M49" s="31">
        <v>11817</v>
      </c>
      <c r="N49" s="21" t="s">
        <v>1</v>
      </c>
      <c r="O49" s="32">
        <f>IF(OR(ISBLANK(misuo[[#This Row],[ميعاد التسليم]]),ISBLANK(misuo[[#This Row],[ميعاد الطلب]])),0,misuo[[#This Row],[ميعاد التسليم]]-misuo[[#This Row],[ميعاد الطلب]])</f>
        <v>45</v>
      </c>
      <c r="P49" s="32">
        <f>IF(OR(ISBLANK(misuo[[#This Row],[تاريخ التسليم]]),ISBLANK(misuo[[#This Row],[ميعاد الطلب]])),0,misuo[[#This Row],[تاريخ التسليم]]-misuo[[#This Row],[ميعاد الطلب]])</f>
        <v>31</v>
      </c>
      <c r="Q49" s="33">
        <v>45549</v>
      </c>
      <c r="R49" s="33">
        <v>45594</v>
      </c>
      <c r="S49" s="27">
        <v>45580</v>
      </c>
      <c r="T49" s="21" t="s">
        <v>69</v>
      </c>
      <c r="U49" s="21" t="s">
        <v>68</v>
      </c>
    </row>
    <row r="50" spans="1:21" ht="20.100000000000001" customHeight="1" x14ac:dyDescent="0.3">
      <c r="A50" s="21" t="s">
        <v>266</v>
      </c>
      <c r="B50" s="21" t="str">
        <f>IF(OR(misuo[[#This Row],[أسم العميل]]="تاكي",misuo[[#This Row],[أسم العميل]]="شيك هومز",misuo[[#This Row],[أسم العميل]]="اوسكار راتن"),"شركات","افراد")</f>
        <v>افراد</v>
      </c>
      <c r="C50" s="21" t="s">
        <v>154</v>
      </c>
      <c r="D50" s="19" t="s">
        <v>282</v>
      </c>
      <c r="E50" s="17" t="s">
        <v>6</v>
      </c>
      <c r="F50" s="28" t="s">
        <v>41</v>
      </c>
      <c r="G50" s="28" t="s">
        <v>16</v>
      </c>
      <c r="H50" s="30"/>
      <c r="I50" s="30"/>
      <c r="J50" s="30"/>
      <c r="K50" s="30"/>
      <c r="L50" s="35" t="s">
        <v>158</v>
      </c>
      <c r="M50" s="31">
        <v>8349</v>
      </c>
      <c r="N50" s="21" t="s">
        <v>1</v>
      </c>
      <c r="O50" s="32">
        <f>IF(OR(ISBLANK(misuo[[#This Row],[ميعاد التسليم]]),ISBLANK(misuo[[#This Row],[ميعاد الطلب]])),0,misuo[[#This Row],[ميعاد التسليم]]-misuo[[#This Row],[ميعاد الطلب]])</f>
        <v>45</v>
      </c>
      <c r="P50" s="32">
        <f>IF(OR(ISBLANK(misuo[[#This Row],[تاريخ التسليم]]),ISBLANK(misuo[[#This Row],[ميعاد الطلب]])),0,misuo[[#This Row],[تاريخ التسليم]]-misuo[[#This Row],[ميعاد الطلب]])</f>
        <v>35</v>
      </c>
      <c r="Q50" s="33">
        <v>45549</v>
      </c>
      <c r="R50" s="33">
        <v>45594</v>
      </c>
      <c r="S50" s="27">
        <v>45584</v>
      </c>
      <c r="T50" s="21" t="s">
        <v>69</v>
      </c>
      <c r="U50" s="21" t="s">
        <v>68</v>
      </c>
    </row>
    <row r="51" spans="1:21" ht="20.100000000000001" customHeight="1" x14ac:dyDescent="0.3">
      <c r="A51" s="21" t="s">
        <v>99</v>
      </c>
      <c r="B51" s="21" t="str">
        <f>IF(OR(misuo[[#This Row],[أسم العميل]]="تاكي",misuo[[#This Row],[أسم العميل]]="شيك هومز",misuo[[#This Row],[أسم العميل]]="اوسكار راتن"),"شركات","افراد")</f>
        <v>افراد</v>
      </c>
      <c r="C51" s="21" t="s">
        <v>17</v>
      </c>
      <c r="D51" s="19" t="s">
        <v>282</v>
      </c>
      <c r="E51" s="17" t="s">
        <v>6</v>
      </c>
      <c r="F51" s="30" t="s">
        <v>5</v>
      </c>
      <c r="G51" s="28" t="s">
        <v>52</v>
      </c>
      <c r="H51" s="28" t="s">
        <v>110</v>
      </c>
      <c r="I51" s="30">
        <v>120</v>
      </c>
      <c r="J51" s="30" t="s">
        <v>2</v>
      </c>
      <c r="K51" s="30"/>
      <c r="L51" s="35" t="s">
        <v>157</v>
      </c>
      <c r="M51" s="31">
        <v>10987</v>
      </c>
      <c r="N51" s="21" t="s">
        <v>1</v>
      </c>
      <c r="O51" s="26">
        <f>IF(OR(ISBLANK(misuo[[#This Row],[ميعاد التسليم]]),ISBLANK(misuo[[#This Row],[ميعاد الطلب]])),0,misuo[[#This Row],[ميعاد التسليم]]-misuo[[#This Row],[ميعاد الطلب]])</f>
        <v>45</v>
      </c>
      <c r="P51" s="26">
        <f>IF(OR(ISBLANK(misuo[[#This Row],[تاريخ التسليم]]),ISBLANK(misuo[[#This Row],[ميعاد الطلب]])),0,misuo[[#This Row],[تاريخ التسليم]]-misuo[[#This Row],[ميعاد الطلب]])</f>
        <v>29</v>
      </c>
      <c r="Q51" s="27">
        <v>45549</v>
      </c>
      <c r="R51" s="33">
        <v>45594</v>
      </c>
      <c r="S51" s="27">
        <v>45578</v>
      </c>
      <c r="T51" s="21" t="s">
        <v>69</v>
      </c>
      <c r="U51" s="21" t="s">
        <v>68</v>
      </c>
    </row>
    <row r="52" spans="1:21" ht="20.100000000000001" customHeight="1" x14ac:dyDescent="0.3">
      <c r="A52" s="21" t="s">
        <v>99</v>
      </c>
      <c r="B52" s="21" t="str">
        <f>IF(OR(misuo[[#This Row],[أسم العميل]]="تاكي",misuo[[#This Row],[أسم العميل]]="شيك هومز",misuo[[#This Row],[أسم العميل]]="اوسكار راتن"),"شركات","افراد")</f>
        <v>افراد</v>
      </c>
      <c r="C52" s="21" t="s">
        <v>17</v>
      </c>
      <c r="D52" s="19" t="s">
        <v>282</v>
      </c>
      <c r="E52" s="17" t="s">
        <v>6</v>
      </c>
      <c r="F52" s="30" t="s">
        <v>5</v>
      </c>
      <c r="G52" s="28" t="s">
        <v>52</v>
      </c>
      <c r="H52" s="28" t="s">
        <v>110</v>
      </c>
      <c r="I52" s="30">
        <v>120</v>
      </c>
      <c r="J52" s="30" t="s">
        <v>2</v>
      </c>
      <c r="K52" s="30"/>
      <c r="L52" s="35" t="s">
        <v>157</v>
      </c>
      <c r="M52" s="31">
        <v>10987</v>
      </c>
      <c r="N52" s="21" t="s">
        <v>1</v>
      </c>
      <c r="O52" s="26">
        <f>IF(OR(ISBLANK(misuo[[#This Row],[ميعاد التسليم]]),ISBLANK(misuo[[#This Row],[ميعاد الطلب]])),0,misuo[[#This Row],[ميعاد التسليم]]-misuo[[#This Row],[ميعاد الطلب]])</f>
        <v>45</v>
      </c>
      <c r="P52" s="26">
        <f>IF(OR(ISBLANK(misuo[[#This Row],[تاريخ التسليم]]),ISBLANK(misuo[[#This Row],[ميعاد الطلب]])),0,misuo[[#This Row],[تاريخ التسليم]]-misuo[[#This Row],[ميعاد الطلب]])</f>
        <v>29</v>
      </c>
      <c r="Q52" s="27">
        <v>45549</v>
      </c>
      <c r="R52" s="33">
        <v>45594</v>
      </c>
      <c r="S52" s="27">
        <v>45578</v>
      </c>
      <c r="T52" s="21" t="s">
        <v>69</v>
      </c>
      <c r="U52" s="21" t="s">
        <v>68</v>
      </c>
    </row>
    <row r="53" spans="1:21" ht="20.100000000000001" customHeight="1" x14ac:dyDescent="0.3">
      <c r="A53" s="21" t="s">
        <v>267</v>
      </c>
      <c r="B53" s="21" t="str">
        <f>IF(OR(misuo[[#This Row],[أسم العميل]]="تاكي",misuo[[#This Row],[أسم العميل]]="شيك هومز",misuo[[#This Row],[أسم العميل]]="اوسكار راتن"),"شركات","افراد")</f>
        <v>افراد</v>
      </c>
      <c r="C53" s="21" t="s">
        <v>80</v>
      </c>
      <c r="D53" s="19" t="s">
        <v>287</v>
      </c>
      <c r="E53" s="17" t="s">
        <v>6</v>
      </c>
      <c r="F53" s="28" t="s">
        <v>41</v>
      </c>
      <c r="G53" s="28" t="s">
        <v>57</v>
      </c>
      <c r="H53" s="28"/>
      <c r="I53" s="28"/>
      <c r="J53" s="28"/>
      <c r="K53" s="28"/>
      <c r="L53" s="35" t="s">
        <v>56</v>
      </c>
      <c r="M53" s="25">
        <v>10319</v>
      </c>
      <c r="N53" s="21" t="s">
        <v>1</v>
      </c>
      <c r="O53" s="26">
        <f>IF(OR(ISBLANK(misuo[[#This Row],[ميعاد التسليم]]),ISBLANK(misuo[[#This Row],[ميعاد الطلب]])),0,misuo[[#This Row],[ميعاد التسليم]]-misuo[[#This Row],[ميعاد الطلب]])</f>
        <v>45</v>
      </c>
      <c r="P53" s="26">
        <f>IF(OR(ISBLANK(misuo[[#This Row],[تاريخ التسليم]]),ISBLANK(misuo[[#This Row],[ميعاد الطلب]])),0,misuo[[#This Row],[تاريخ التسليم]]-misuo[[#This Row],[ميعاد الطلب]])</f>
        <v>35</v>
      </c>
      <c r="Q53" s="27">
        <v>45549</v>
      </c>
      <c r="R53" s="27">
        <v>45594</v>
      </c>
      <c r="S53" s="27">
        <v>45584</v>
      </c>
      <c r="T53" s="21" t="s">
        <v>69</v>
      </c>
      <c r="U53" s="21" t="s">
        <v>68</v>
      </c>
    </row>
    <row r="54" spans="1:21" ht="20.100000000000001" customHeight="1" x14ac:dyDescent="0.3">
      <c r="A54" s="21" t="s">
        <v>268</v>
      </c>
      <c r="B54" s="21" t="str">
        <f>IF(OR(misuo[[#This Row],[أسم العميل]]="تاكي",misuo[[#This Row],[أسم العميل]]="شيك هومز",misuo[[#This Row],[أسم العميل]]="اوسكار راتن"),"شركات","افراد")</f>
        <v>افراد</v>
      </c>
      <c r="C54" s="21" t="s">
        <v>156</v>
      </c>
      <c r="D54" s="19" t="s">
        <v>288</v>
      </c>
      <c r="E54" s="17" t="s">
        <v>6</v>
      </c>
      <c r="F54" s="30" t="s">
        <v>5</v>
      </c>
      <c r="G54" s="28" t="s">
        <v>24</v>
      </c>
      <c r="H54" s="28" t="s">
        <v>23</v>
      </c>
      <c r="I54" s="28">
        <v>120</v>
      </c>
      <c r="J54" s="28" t="s">
        <v>45</v>
      </c>
      <c r="K54" s="28"/>
      <c r="L54" s="35" t="s">
        <v>155</v>
      </c>
      <c r="M54" s="31">
        <v>12999</v>
      </c>
      <c r="N54" s="21" t="s">
        <v>1</v>
      </c>
      <c r="O54" s="32">
        <f>IF(OR(ISBLANK(misuo[[#This Row],[ميعاد التسليم]]),ISBLANK(misuo[[#This Row],[ميعاد الطلب]])),0,misuo[[#This Row],[ميعاد التسليم]]-misuo[[#This Row],[ميعاد الطلب]])</f>
        <v>67</v>
      </c>
      <c r="P54" s="32">
        <f>IF(OR(ISBLANK(misuo[[#This Row],[تاريخ التسليم]]),ISBLANK(misuo[[#This Row],[ميعاد الطلب]])),0,misuo[[#This Row],[تاريخ التسليم]]-misuo[[#This Row],[ميعاد الطلب]])</f>
        <v>33</v>
      </c>
      <c r="Q54" s="33">
        <v>45549</v>
      </c>
      <c r="R54" s="33">
        <v>45616</v>
      </c>
      <c r="S54" s="33">
        <v>45582</v>
      </c>
      <c r="T54" s="21" t="s">
        <v>294</v>
      </c>
      <c r="U54" s="21" t="s">
        <v>68</v>
      </c>
    </row>
    <row r="55" spans="1:21" ht="20.100000000000001" customHeight="1" x14ac:dyDescent="0.3">
      <c r="A55" s="21" t="s">
        <v>269</v>
      </c>
      <c r="B55" s="21" t="str">
        <f>IF(OR(misuo[[#This Row],[أسم العميل]]="تاكي",misuo[[#This Row],[أسم العميل]]="شيك هومز",misuo[[#This Row],[أسم العميل]]="اوسكار راتن"),"شركات","افراد")</f>
        <v>افراد</v>
      </c>
      <c r="C55" s="21" t="s">
        <v>154</v>
      </c>
      <c r="D55" s="19" t="s">
        <v>282</v>
      </c>
      <c r="E55" s="17" t="s">
        <v>6</v>
      </c>
      <c r="F55" s="30" t="s">
        <v>5</v>
      </c>
      <c r="G55" s="28" t="s">
        <v>24</v>
      </c>
      <c r="H55" s="30" t="s">
        <v>3</v>
      </c>
      <c r="I55" s="30">
        <v>100</v>
      </c>
      <c r="J55" s="30" t="s">
        <v>45</v>
      </c>
      <c r="K55" s="30"/>
      <c r="L55" s="35" t="s">
        <v>153</v>
      </c>
      <c r="M55" s="31">
        <v>12399</v>
      </c>
      <c r="N55" s="21" t="s">
        <v>1</v>
      </c>
      <c r="O55" s="26">
        <f>IF(OR(ISBLANK(misuo[[#This Row],[ميعاد التسليم]]),ISBLANK(misuo[[#This Row],[ميعاد الطلب]])),0,misuo[[#This Row],[ميعاد التسليم]]-misuo[[#This Row],[ميعاد الطلب]])</f>
        <v>67</v>
      </c>
      <c r="P55" s="26">
        <f>IF(OR(ISBLANK(misuo[[#This Row],[تاريخ التسليم]]),ISBLANK(misuo[[#This Row],[ميعاد الطلب]])),0,misuo[[#This Row],[تاريخ التسليم]]-misuo[[#This Row],[ميعاد الطلب]])</f>
        <v>17</v>
      </c>
      <c r="Q55" s="33">
        <v>45549</v>
      </c>
      <c r="R55" s="33">
        <v>45616</v>
      </c>
      <c r="S55" s="27">
        <v>45566</v>
      </c>
      <c r="T55" s="21" t="s">
        <v>294</v>
      </c>
      <c r="U55" s="21" t="s">
        <v>68</v>
      </c>
    </row>
    <row r="56" spans="1:21" ht="20.100000000000001" customHeight="1" x14ac:dyDescent="0.3">
      <c r="A56" s="21" t="s">
        <v>152</v>
      </c>
      <c r="B56" s="21" t="str">
        <f>IF(OR(misuo[[#This Row],[أسم العميل]]="تاكي",misuo[[#This Row],[أسم العميل]]="شيك هومز",misuo[[#This Row],[أسم العميل]]="اوسكار راتن"),"شركات","افراد")</f>
        <v>افراد</v>
      </c>
      <c r="C56" s="21" t="s">
        <v>17</v>
      </c>
      <c r="D56" s="19" t="s">
        <v>282</v>
      </c>
      <c r="E56" s="17" t="s">
        <v>6</v>
      </c>
      <c r="F56" s="21" t="s">
        <v>209</v>
      </c>
      <c r="G56" s="30" t="s">
        <v>46</v>
      </c>
      <c r="H56" s="30"/>
      <c r="I56" s="30"/>
      <c r="J56" s="28" t="s">
        <v>15</v>
      </c>
      <c r="K56" s="28" t="s">
        <v>45</v>
      </c>
      <c r="L56" s="35" t="s">
        <v>44</v>
      </c>
      <c r="M56" s="31">
        <v>21999</v>
      </c>
      <c r="N56" s="21" t="s">
        <v>1</v>
      </c>
      <c r="O56" s="26">
        <f>IF(OR(ISBLANK(misuo[[#This Row],[ميعاد التسليم]]),ISBLANK(misuo[[#This Row],[ميعاد الطلب]])),0,misuo[[#This Row],[ميعاد التسليم]]-misuo[[#This Row],[ميعاد الطلب]])</f>
        <v>67</v>
      </c>
      <c r="P56" s="26">
        <f>IF(OR(ISBLANK(misuo[[#This Row],[تاريخ التسليم]]),ISBLANK(misuo[[#This Row],[ميعاد الطلب]])),0,misuo[[#This Row],[تاريخ التسليم]]-misuo[[#This Row],[ميعاد الطلب]])</f>
        <v>25</v>
      </c>
      <c r="Q56" s="27">
        <v>45549</v>
      </c>
      <c r="R56" s="27">
        <v>45616</v>
      </c>
      <c r="S56" s="27">
        <v>45574</v>
      </c>
      <c r="T56" s="21" t="s">
        <v>69</v>
      </c>
      <c r="U56" s="21" t="s">
        <v>68</v>
      </c>
    </row>
    <row r="57" spans="1:21" ht="20.100000000000001" customHeight="1" x14ac:dyDescent="0.3">
      <c r="A57" s="21" t="s">
        <v>270</v>
      </c>
      <c r="B57" s="21" t="str">
        <f>IF(OR(misuo[[#This Row],[أسم العميل]]="تاكي",misuo[[#This Row],[أسم العميل]]="شيك هومز",misuo[[#This Row],[أسم العميل]]="اوسكار راتن"),"شركات","افراد")</f>
        <v>افراد</v>
      </c>
      <c r="C57" s="21" t="s">
        <v>151</v>
      </c>
      <c r="D57" s="19" t="s">
        <v>282</v>
      </c>
      <c r="E57" s="17" t="s">
        <v>6</v>
      </c>
      <c r="F57" s="28" t="s">
        <v>5</v>
      </c>
      <c r="G57" s="28" t="s">
        <v>24</v>
      </c>
      <c r="H57" s="28" t="s">
        <v>3</v>
      </c>
      <c r="I57" s="28">
        <v>80</v>
      </c>
      <c r="J57" s="28" t="s">
        <v>2</v>
      </c>
      <c r="K57" s="28"/>
      <c r="L57" s="35" t="s">
        <v>150</v>
      </c>
      <c r="M57" s="25">
        <v>10999</v>
      </c>
      <c r="N57" s="21" t="s">
        <v>1</v>
      </c>
      <c r="O57" s="26">
        <f>IF(OR(ISBLANK(misuo[[#This Row],[ميعاد التسليم]]),ISBLANK(misuo[[#This Row],[ميعاد الطلب]])),0,misuo[[#This Row],[ميعاد التسليم]]-misuo[[#This Row],[ميعاد الطلب]])</f>
        <v>67</v>
      </c>
      <c r="P57" s="26">
        <f>IF(OR(ISBLANK(misuo[[#This Row],[تاريخ التسليم]]),ISBLANK(misuo[[#This Row],[ميعاد الطلب]])),0,misuo[[#This Row],[تاريخ التسليم]]-misuo[[#This Row],[ميعاد الطلب]])</f>
        <v>32</v>
      </c>
      <c r="Q57" s="27">
        <v>45549</v>
      </c>
      <c r="R57" s="27">
        <v>45616</v>
      </c>
      <c r="S57" s="27">
        <v>45581</v>
      </c>
      <c r="T57" s="21" t="s">
        <v>69</v>
      </c>
      <c r="U57" s="21" t="s">
        <v>68</v>
      </c>
    </row>
    <row r="58" spans="1:21" ht="20.100000000000001" customHeight="1" x14ac:dyDescent="0.25">
      <c r="A58" s="37" t="s">
        <v>149</v>
      </c>
      <c r="B58" s="37" t="str">
        <f>IF(OR(misuo[[#This Row],[أسم العميل]]="تاكي",misuo[[#This Row],[أسم العميل]]="شيك هومز",misuo[[#This Row],[أسم العميل]]="اوسكار راتن"),"شركات","افراد")</f>
        <v>افراد</v>
      </c>
      <c r="C58" s="37" t="s">
        <v>148</v>
      </c>
      <c r="D58" s="19" t="s">
        <v>282</v>
      </c>
      <c r="E58" s="17" t="s">
        <v>6</v>
      </c>
      <c r="F58" s="28" t="s">
        <v>5</v>
      </c>
      <c r="G58" s="28" t="s">
        <v>24</v>
      </c>
      <c r="H58" s="28" t="s">
        <v>23</v>
      </c>
      <c r="I58" s="28">
        <v>80</v>
      </c>
      <c r="J58" s="28" t="s">
        <v>2</v>
      </c>
      <c r="K58" s="28"/>
      <c r="L58" s="35"/>
      <c r="M58" s="25">
        <v>10999</v>
      </c>
      <c r="N58" s="21" t="s">
        <v>1</v>
      </c>
      <c r="O58" s="26">
        <f>IF(OR(ISBLANK(misuo[[#This Row],[ميعاد التسليم]]),ISBLANK(misuo[[#This Row],[ميعاد الطلب]])),0,misuo[[#This Row],[ميعاد التسليم]]-misuo[[#This Row],[ميعاد الطلب]])</f>
        <v>66</v>
      </c>
      <c r="P58" s="23">
        <f>IF(OR(ISBLANK(misuo[[#This Row],[تاريخ التسليم]]),ISBLANK(misuo[[#This Row],[ميعاد الطلب]])),0,misuo[[#This Row],[تاريخ التسليم]]-misuo[[#This Row],[ميعاد الطلب]])</f>
        <v>31</v>
      </c>
      <c r="Q58" s="24">
        <f>DATE(2024,9,15)</f>
        <v>45550</v>
      </c>
      <c r="R58" s="27">
        <v>45616</v>
      </c>
      <c r="S58" s="27">
        <v>45581</v>
      </c>
      <c r="T58" s="21" t="s">
        <v>69</v>
      </c>
      <c r="U58" s="21" t="s">
        <v>68</v>
      </c>
    </row>
    <row r="59" spans="1:21" ht="20.100000000000001" customHeight="1" x14ac:dyDescent="0.25">
      <c r="A59" s="37" t="s">
        <v>149</v>
      </c>
      <c r="B59" s="37" t="str">
        <f>IF(OR(misuo[[#This Row],[أسم العميل]]="تاكي",misuo[[#This Row],[أسم العميل]]="شيك هومز",misuo[[#This Row],[أسم العميل]]="اوسكار راتن"),"شركات","افراد")</f>
        <v>افراد</v>
      </c>
      <c r="C59" s="37" t="s">
        <v>148</v>
      </c>
      <c r="D59" s="19" t="s">
        <v>282</v>
      </c>
      <c r="E59" s="17" t="s">
        <v>6</v>
      </c>
      <c r="F59" s="28" t="s">
        <v>5</v>
      </c>
      <c r="G59" s="28" t="s">
        <v>24</v>
      </c>
      <c r="H59" s="28" t="s">
        <v>23</v>
      </c>
      <c r="I59" s="28">
        <v>80</v>
      </c>
      <c r="J59" s="28" t="s">
        <v>2</v>
      </c>
      <c r="K59" s="28"/>
      <c r="L59" s="35"/>
      <c r="M59" s="25">
        <v>10999</v>
      </c>
      <c r="N59" s="21" t="s">
        <v>1</v>
      </c>
      <c r="O59" s="26">
        <f>IF(OR(ISBLANK(misuo[[#This Row],[ميعاد التسليم]]),ISBLANK(misuo[[#This Row],[ميعاد الطلب]])),0,misuo[[#This Row],[ميعاد التسليم]]-misuo[[#This Row],[ميعاد الطلب]])</f>
        <v>66</v>
      </c>
      <c r="P59" s="23">
        <f>IF(OR(ISBLANK(misuo[[#This Row],[تاريخ التسليم]]),ISBLANK(misuo[[#This Row],[ميعاد الطلب]])),0,misuo[[#This Row],[تاريخ التسليم]]-misuo[[#This Row],[ميعاد الطلب]])</f>
        <v>31</v>
      </c>
      <c r="Q59" s="24">
        <f t="shared" ref="Q59:Q60" si="1">DATE(2024,9,15)</f>
        <v>45550</v>
      </c>
      <c r="R59" s="27">
        <v>45616</v>
      </c>
      <c r="S59" s="27">
        <v>45581</v>
      </c>
      <c r="T59" s="21" t="s">
        <v>69</v>
      </c>
      <c r="U59" s="21" t="s">
        <v>68</v>
      </c>
    </row>
    <row r="60" spans="1:21" ht="20.100000000000001" customHeight="1" x14ac:dyDescent="0.25">
      <c r="A60" s="37" t="s">
        <v>147</v>
      </c>
      <c r="B60" s="37" t="str">
        <f>IF(OR(misuo[[#This Row],[أسم العميل]]="تاكي",misuo[[#This Row],[أسم العميل]]="شيك هومز",misuo[[#This Row],[أسم العميل]]="اوسكار راتن"),"شركات","افراد")</f>
        <v>افراد</v>
      </c>
      <c r="C60" s="37" t="s">
        <v>146</v>
      </c>
      <c r="D60" s="19" t="s">
        <v>282</v>
      </c>
      <c r="E60" s="17" t="s">
        <v>6</v>
      </c>
      <c r="F60" s="21" t="s">
        <v>209</v>
      </c>
      <c r="G60" s="28" t="s">
        <v>46</v>
      </c>
      <c r="H60" s="28"/>
      <c r="I60" s="28"/>
      <c r="J60" s="28" t="s">
        <v>15</v>
      </c>
      <c r="K60" s="28" t="s">
        <v>45</v>
      </c>
      <c r="L60" s="35"/>
      <c r="M60" s="25">
        <v>21999</v>
      </c>
      <c r="N60" s="21" t="s">
        <v>1</v>
      </c>
      <c r="O60" s="26">
        <f>IF(OR(ISBLANK(misuo[[#This Row],[ميعاد التسليم]]),ISBLANK(misuo[[#This Row],[ميعاد الطلب]])),0,misuo[[#This Row],[ميعاد التسليم]]-misuo[[#This Row],[ميعاد الطلب]])</f>
        <v>66</v>
      </c>
      <c r="P60" s="23">
        <f>IF(OR(ISBLANK(misuo[[#This Row],[تاريخ التسليم]]),ISBLANK(misuo[[#This Row],[ميعاد الطلب]])),0,misuo[[#This Row],[تاريخ التسليم]]-misuo[[#This Row],[ميعاد الطلب]])</f>
        <v>34</v>
      </c>
      <c r="Q60" s="24">
        <f t="shared" si="1"/>
        <v>45550</v>
      </c>
      <c r="R60" s="27">
        <v>45616</v>
      </c>
      <c r="S60" s="27">
        <v>45584</v>
      </c>
      <c r="T60" s="21" t="s">
        <v>69</v>
      </c>
      <c r="U60" s="21" t="s">
        <v>68</v>
      </c>
    </row>
    <row r="61" spans="1:21" ht="20.100000000000001" customHeight="1" x14ac:dyDescent="0.3">
      <c r="A61" s="21" t="s">
        <v>145</v>
      </c>
      <c r="B61" s="21" t="str">
        <f>IF(OR(misuo[[#This Row],[أسم العميل]]="تاكي",misuo[[#This Row],[أسم العميل]]="شيك هومز",misuo[[#This Row],[أسم العميل]]="اوسكار راتن"),"شركات","افراد")</f>
        <v>افراد</v>
      </c>
      <c r="C61" s="21" t="s">
        <v>12</v>
      </c>
      <c r="D61" s="19" t="s">
        <v>133</v>
      </c>
      <c r="E61" s="17" t="s">
        <v>6</v>
      </c>
      <c r="F61" s="28" t="s">
        <v>41</v>
      </c>
      <c r="G61" s="28" t="s">
        <v>57</v>
      </c>
      <c r="H61" s="21"/>
      <c r="I61" s="21"/>
      <c r="J61" s="21"/>
      <c r="K61" s="21"/>
      <c r="L61" s="35"/>
      <c r="M61" s="25">
        <v>7849</v>
      </c>
      <c r="N61" s="21" t="s">
        <v>295</v>
      </c>
      <c r="O61" s="26">
        <f>IF(OR(ISBLANK(misuo[[#This Row],[ميعاد التسليم]]),ISBLANK(misuo[[#This Row],[ميعاد الطلب]])),0,misuo[[#This Row],[ميعاد التسليم]]-misuo[[#This Row],[ميعاد الطلب]])</f>
        <v>44</v>
      </c>
      <c r="P61" s="23">
        <f>IF(OR(ISBLANK(misuo[[#This Row],[تاريخ التسليم]]),ISBLANK(misuo[[#This Row],[ميعاد الطلب]])),0,misuo[[#This Row],[تاريخ التسليم]]-misuo[[#This Row],[ميعاد الطلب]])</f>
        <v>59</v>
      </c>
      <c r="Q61" s="24">
        <f>DATE(2024,9,16)</f>
        <v>45551</v>
      </c>
      <c r="R61" s="27">
        <v>45595</v>
      </c>
      <c r="S61" s="27">
        <v>45610</v>
      </c>
      <c r="T61" s="21" t="s">
        <v>294</v>
      </c>
      <c r="U61" s="21" t="s">
        <v>68</v>
      </c>
    </row>
    <row r="62" spans="1:21" ht="20.100000000000001" customHeight="1" x14ac:dyDescent="0.3">
      <c r="A62" s="21" t="s">
        <v>37</v>
      </c>
      <c r="B62" s="21" t="str">
        <f>IF(OR(misuo[[#This Row],[أسم العميل]]="تاكي",misuo[[#This Row],[أسم العميل]]="شيك هومز",misuo[[#This Row],[أسم العميل]]="اوسكار راتن"),"شركات","افراد")</f>
        <v>شركات</v>
      </c>
      <c r="C62" s="21" t="s">
        <v>83</v>
      </c>
      <c r="D62" s="19" t="s">
        <v>287</v>
      </c>
      <c r="E62" s="21" t="s">
        <v>35</v>
      </c>
      <c r="F62" s="21" t="s">
        <v>5</v>
      </c>
      <c r="G62" s="21" t="s">
        <v>24</v>
      </c>
      <c r="H62" s="21" t="s">
        <v>23</v>
      </c>
      <c r="I62" s="21">
        <v>80</v>
      </c>
      <c r="J62" s="21" t="s">
        <v>2</v>
      </c>
      <c r="K62" s="21"/>
      <c r="L62" s="35"/>
      <c r="M62" s="25">
        <v>5074</v>
      </c>
      <c r="N62" s="21" t="s">
        <v>27</v>
      </c>
      <c r="O62" s="26">
        <f>IF(OR(ISBLANK(misuo[[#This Row],[ميعاد التسليم]]),ISBLANK(misuo[[#This Row],[ميعاد الطلب]])),0,misuo[[#This Row],[ميعاد التسليم]]-misuo[[#This Row],[ميعاد الطلب]])</f>
        <v>14</v>
      </c>
      <c r="P62" s="26">
        <f>IF(OR(ISBLANK(misuo[[#This Row],[تاريخ التسليم]]),ISBLANK(misuo[[#This Row],[ميعاد الطلب]])),0,misuo[[#This Row],[تاريخ التسليم]]-misuo[[#This Row],[ميعاد الطلب]])</f>
        <v>21</v>
      </c>
      <c r="Q62" s="27">
        <v>45556</v>
      </c>
      <c r="R62" s="27">
        <v>45570</v>
      </c>
      <c r="S62" s="27">
        <v>45577</v>
      </c>
      <c r="T62" s="21" t="s">
        <v>69</v>
      </c>
      <c r="U62" s="21" t="s">
        <v>68</v>
      </c>
    </row>
    <row r="63" spans="1:21" ht="20.100000000000001" customHeight="1" x14ac:dyDescent="0.3">
      <c r="A63" s="21" t="s">
        <v>249</v>
      </c>
      <c r="B63" s="21" t="str">
        <f>IF(OR(misuo[[#This Row],[أسم العميل]]="تاكي",misuo[[#This Row],[أسم العميل]]="شيك هومز",misuo[[#This Row],[أسم العميل]]="اوسكار راتن"),"شركات","افراد")</f>
        <v>شركات</v>
      </c>
      <c r="C63" s="21" t="s">
        <v>67</v>
      </c>
      <c r="D63" s="19" t="s">
        <v>282</v>
      </c>
      <c r="E63" s="21" t="s">
        <v>91</v>
      </c>
      <c r="F63" s="21" t="s">
        <v>5</v>
      </c>
      <c r="G63" s="21" t="s">
        <v>24</v>
      </c>
      <c r="H63" s="21" t="s">
        <v>31</v>
      </c>
      <c r="I63" s="38">
        <v>100</v>
      </c>
      <c r="J63" s="21" t="s">
        <v>144</v>
      </c>
      <c r="K63" s="21"/>
      <c r="L63" s="35"/>
      <c r="M63" s="25">
        <v>6250</v>
      </c>
      <c r="N63" s="21" t="s">
        <v>27</v>
      </c>
      <c r="O63" s="26">
        <f>IF(OR(ISBLANK(misuo[[#This Row],[ميعاد التسليم]]),ISBLANK(misuo[[#This Row],[ميعاد الطلب]])),0,misuo[[#This Row],[ميعاد التسليم]]-misuo[[#This Row],[ميعاد الطلب]])</f>
        <v>15</v>
      </c>
      <c r="P63" s="26">
        <f>IF(OR(ISBLANK(misuo[[#This Row],[تاريخ التسليم]]),ISBLANK(misuo[[#This Row],[ميعاد الطلب]])),0,misuo[[#This Row],[تاريخ التسليم]]-misuo[[#This Row],[ميعاد الطلب]])</f>
        <v>24</v>
      </c>
      <c r="Q63" s="27">
        <v>45558</v>
      </c>
      <c r="R63" s="27">
        <v>45573</v>
      </c>
      <c r="S63" s="27">
        <v>45582</v>
      </c>
      <c r="T63" s="21" t="s">
        <v>69</v>
      </c>
      <c r="U63" s="21" t="s">
        <v>68</v>
      </c>
    </row>
    <row r="64" spans="1:21" ht="20.100000000000001" customHeight="1" x14ac:dyDescent="0.3">
      <c r="A64" s="21" t="s">
        <v>249</v>
      </c>
      <c r="B64" s="21" t="str">
        <f>IF(OR(misuo[[#This Row],[أسم العميل]]="تاكي",misuo[[#This Row],[أسم العميل]]="شيك هومز",misuo[[#This Row],[أسم العميل]]="اوسكار راتن"),"شركات","افراد")</f>
        <v>شركات</v>
      </c>
      <c r="C64" s="21" t="s">
        <v>67</v>
      </c>
      <c r="D64" s="19" t="s">
        <v>282</v>
      </c>
      <c r="E64" s="21" t="s">
        <v>91</v>
      </c>
      <c r="F64" s="21" t="s">
        <v>5</v>
      </c>
      <c r="G64" s="21" t="s">
        <v>24</v>
      </c>
      <c r="H64" s="21" t="s">
        <v>31</v>
      </c>
      <c r="I64" s="38">
        <v>100</v>
      </c>
      <c r="J64" s="21" t="s">
        <v>144</v>
      </c>
      <c r="K64" s="21"/>
      <c r="L64" s="35"/>
      <c r="M64" s="25">
        <v>6250</v>
      </c>
      <c r="N64" s="21" t="s">
        <v>27</v>
      </c>
      <c r="O64" s="26">
        <f>IF(OR(ISBLANK(misuo[[#This Row],[ميعاد التسليم]]),ISBLANK(misuo[[#This Row],[ميعاد الطلب]])),0,misuo[[#This Row],[ميعاد التسليم]]-misuo[[#This Row],[ميعاد الطلب]])</f>
        <v>15</v>
      </c>
      <c r="P64" s="26">
        <f>IF(OR(ISBLANK(misuo[[#This Row],[تاريخ التسليم]]),ISBLANK(misuo[[#This Row],[ميعاد الطلب]])),0,misuo[[#This Row],[تاريخ التسليم]]-misuo[[#This Row],[ميعاد الطلب]])</f>
        <v>24</v>
      </c>
      <c r="Q64" s="27">
        <v>45558</v>
      </c>
      <c r="R64" s="27">
        <v>45573</v>
      </c>
      <c r="S64" s="27">
        <v>45582</v>
      </c>
      <c r="T64" s="21" t="s">
        <v>69</v>
      </c>
      <c r="U64" s="21" t="s">
        <v>68</v>
      </c>
    </row>
    <row r="65" spans="1:21" ht="20.100000000000001" customHeight="1" x14ac:dyDescent="0.3">
      <c r="A65" s="21" t="s">
        <v>143</v>
      </c>
      <c r="B65" s="21" t="str">
        <f>IF(OR(misuo[[#This Row],[أسم العميل]]="تاكي",misuo[[#This Row],[أسم العميل]]="شيك هومز",misuo[[#This Row],[أسم العميل]]="اوسكار راتن"),"شركات","افراد")</f>
        <v>افراد</v>
      </c>
      <c r="C65" s="21" t="s">
        <v>67</v>
      </c>
      <c r="D65" s="19" t="s">
        <v>282</v>
      </c>
      <c r="E65" s="17" t="s">
        <v>6</v>
      </c>
      <c r="F65" s="21" t="s">
        <v>5</v>
      </c>
      <c r="G65" s="21" t="s">
        <v>52</v>
      </c>
      <c r="H65" s="21" t="s">
        <v>51</v>
      </c>
      <c r="I65" s="21">
        <v>120</v>
      </c>
      <c r="J65" s="21" t="s">
        <v>2</v>
      </c>
      <c r="K65" s="21"/>
      <c r="L65" s="35"/>
      <c r="M65" s="25">
        <v>8943</v>
      </c>
      <c r="N65" s="21" t="s">
        <v>295</v>
      </c>
      <c r="O65" s="26">
        <f>IF(OR(ISBLANK(misuo[[#This Row],[ميعاد التسليم]]),ISBLANK(misuo[[#This Row],[ميعاد الطلب]])),0,misuo[[#This Row],[ميعاد التسليم]]-misuo[[#This Row],[ميعاد الطلب]])</f>
        <v>45</v>
      </c>
      <c r="P65" s="26">
        <f>IF(OR(ISBLANK(misuo[[#This Row],[تاريخ التسليم]]),ISBLANK(misuo[[#This Row],[ميعاد الطلب]])),0,misuo[[#This Row],[تاريخ التسليم]]-misuo[[#This Row],[ميعاد الطلب]])</f>
        <v>14</v>
      </c>
      <c r="Q65" s="27">
        <v>45561</v>
      </c>
      <c r="R65" s="27">
        <v>45606</v>
      </c>
      <c r="S65" s="27">
        <v>45575</v>
      </c>
      <c r="T65" s="21" t="s">
        <v>69</v>
      </c>
      <c r="U65" s="21" t="s">
        <v>68</v>
      </c>
    </row>
    <row r="66" spans="1:21" ht="20.100000000000001" customHeight="1" x14ac:dyDescent="0.3">
      <c r="A66" s="21" t="s">
        <v>32</v>
      </c>
      <c r="B66" s="21" t="str">
        <f>IF(OR(misuo[[#This Row],[أسم العميل]]="تاكي",misuo[[#This Row],[أسم العميل]]="شيك هومز",misuo[[#This Row],[أسم العميل]]="اوسكار راتن"),"شركات","افراد")</f>
        <v>شركات</v>
      </c>
      <c r="C66" s="21" t="s">
        <v>142</v>
      </c>
      <c r="D66" s="19" t="s">
        <v>282</v>
      </c>
      <c r="E66" s="21" t="s">
        <v>32</v>
      </c>
      <c r="F66" s="21" t="s">
        <v>209</v>
      </c>
      <c r="G66" s="21" t="s">
        <v>72</v>
      </c>
      <c r="H66" s="21"/>
      <c r="I66" s="21"/>
      <c r="J66" s="21"/>
      <c r="K66" s="21" t="s">
        <v>116</v>
      </c>
      <c r="L66" s="35"/>
      <c r="M66" s="25">
        <v>14950</v>
      </c>
      <c r="N66" s="21" t="s">
        <v>1</v>
      </c>
      <c r="O66" s="26">
        <f>IF(OR(ISBLANK(misuo[[#This Row],[ميعاد التسليم]]),ISBLANK(misuo[[#This Row],[ميعاد الطلب]])),0,misuo[[#This Row],[ميعاد التسليم]]-misuo[[#This Row],[ميعاد الطلب]])</f>
        <v>18</v>
      </c>
      <c r="P66" s="26">
        <f>IF(OR(ISBLANK(misuo[[#This Row],[تاريخ التسليم]]),ISBLANK(misuo[[#This Row],[ميعاد الطلب]])),0,misuo[[#This Row],[تاريخ التسليم]]-misuo[[#This Row],[ميعاد الطلب]])</f>
        <v>17</v>
      </c>
      <c r="Q66" s="27">
        <v>45561</v>
      </c>
      <c r="R66" s="27">
        <v>45579</v>
      </c>
      <c r="S66" s="27">
        <v>45578</v>
      </c>
      <c r="T66" s="21" t="s">
        <v>69</v>
      </c>
      <c r="U66" s="21" t="s">
        <v>68</v>
      </c>
    </row>
    <row r="67" spans="1:21" ht="20.100000000000001" customHeight="1" x14ac:dyDescent="0.3">
      <c r="A67" s="21" t="s">
        <v>32</v>
      </c>
      <c r="B67" s="21" t="str">
        <f>IF(OR(misuo[[#This Row],[أسم العميل]]="تاكي",misuo[[#This Row],[أسم العميل]]="شيك هومز",misuo[[#This Row],[أسم العميل]]="اوسكار راتن"),"شركات","افراد")</f>
        <v>شركات</v>
      </c>
      <c r="C67" s="21"/>
      <c r="D67" s="34" t="s">
        <v>286</v>
      </c>
      <c r="E67" s="21" t="s">
        <v>32</v>
      </c>
      <c r="F67" s="21" t="s">
        <v>5</v>
      </c>
      <c r="G67" s="21" t="s">
        <v>52</v>
      </c>
      <c r="H67" s="21" t="s">
        <v>110</v>
      </c>
      <c r="I67" s="21">
        <v>120</v>
      </c>
      <c r="J67" s="21" t="s">
        <v>2</v>
      </c>
      <c r="K67" s="21"/>
      <c r="L67" s="35"/>
      <c r="M67" s="25">
        <v>7433</v>
      </c>
      <c r="N67" s="21" t="s">
        <v>1</v>
      </c>
      <c r="O67" s="26">
        <f>IF(OR(ISBLANK(misuo[[#This Row],[ميعاد التسليم]]),ISBLANK(misuo[[#This Row],[ميعاد الطلب]])),0,misuo[[#This Row],[ميعاد التسليم]]-misuo[[#This Row],[ميعاد الطلب]])</f>
        <v>21</v>
      </c>
      <c r="P67" s="26">
        <f>IF(OR(ISBLANK(misuo[[#This Row],[تاريخ التسليم]]),ISBLANK(misuo[[#This Row],[ميعاد الطلب]])),0,misuo[[#This Row],[تاريخ التسليم]]-misuo[[#This Row],[ميعاد الطلب]])</f>
        <v>22</v>
      </c>
      <c r="Q67" s="27">
        <v>45564</v>
      </c>
      <c r="R67" s="27">
        <v>45585</v>
      </c>
      <c r="S67" s="27">
        <v>45586</v>
      </c>
      <c r="T67" s="21" t="s">
        <v>69</v>
      </c>
      <c r="U67" s="21" t="s">
        <v>68</v>
      </c>
    </row>
    <row r="68" spans="1:21" ht="20.100000000000001" customHeight="1" x14ac:dyDescent="0.3">
      <c r="A68" s="21" t="s">
        <v>37</v>
      </c>
      <c r="B68" s="21" t="str">
        <f>IF(OR(misuo[[#This Row],[أسم العميل]]="تاكي",misuo[[#This Row],[أسم العميل]]="شيك هومز",misuo[[#This Row],[أسم العميل]]="اوسكار راتن"),"شركات","افراد")</f>
        <v>شركات</v>
      </c>
      <c r="C68" s="21" t="s">
        <v>83</v>
      </c>
      <c r="D68" s="19" t="s">
        <v>287</v>
      </c>
      <c r="E68" s="21" t="s">
        <v>35</v>
      </c>
      <c r="F68" s="21" t="s">
        <v>5</v>
      </c>
      <c r="G68" s="21" t="s">
        <v>52</v>
      </c>
      <c r="H68" s="21" t="s">
        <v>51</v>
      </c>
      <c r="I68" s="21">
        <v>120</v>
      </c>
      <c r="J68" s="21" t="s">
        <v>2</v>
      </c>
      <c r="K68" s="21"/>
      <c r="L68" s="35"/>
      <c r="M68" s="25">
        <v>4020</v>
      </c>
      <c r="N68" s="21" t="s">
        <v>27</v>
      </c>
      <c r="O68" s="26">
        <f>IF(OR(ISBLANK(misuo[[#This Row],[ميعاد التسليم]]),ISBLANK(misuo[[#This Row],[ميعاد الطلب]])),0,misuo[[#This Row],[ميعاد التسليم]]-misuo[[#This Row],[ميعاد الطلب]])</f>
        <v>13</v>
      </c>
      <c r="P68" s="26">
        <f>IF(OR(ISBLANK(misuo[[#This Row],[تاريخ التسليم]]),ISBLANK(misuo[[#This Row],[ميعاد الطلب]])),0,misuo[[#This Row],[تاريخ التسليم]]-misuo[[#This Row],[ميعاد الطلب]])</f>
        <v>13</v>
      </c>
      <c r="Q68" s="27">
        <v>45564</v>
      </c>
      <c r="R68" s="27">
        <v>45577</v>
      </c>
      <c r="S68" s="27">
        <v>45577</v>
      </c>
      <c r="T68" s="21" t="s">
        <v>69</v>
      </c>
      <c r="U68" s="21" t="s">
        <v>68</v>
      </c>
    </row>
    <row r="69" spans="1:21" ht="20.100000000000001" customHeight="1" x14ac:dyDescent="0.3">
      <c r="A69" s="17" t="s">
        <v>135</v>
      </c>
      <c r="B69" s="17" t="str">
        <f>IF(OR(misuo[[#This Row],[أسم العميل]]="تاكي",misuo[[#This Row],[أسم العميل]]="شيك هومز",misuo[[#This Row],[أسم العميل]]="اوسكار راتن"),"شركات","افراد")</f>
        <v>افراد</v>
      </c>
      <c r="C69" s="17" t="s">
        <v>134</v>
      </c>
      <c r="D69" s="19" t="s">
        <v>133</v>
      </c>
      <c r="E69" s="21" t="s">
        <v>133</v>
      </c>
      <c r="F69" s="21" t="s">
        <v>5</v>
      </c>
      <c r="G69" s="21" t="s">
        <v>24</v>
      </c>
      <c r="H69" s="17" t="s">
        <v>141</v>
      </c>
      <c r="I69" s="17">
        <v>100</v>
      </c>
      <c r="J69" s="17" t="s">
        <v>140</v>
      </c>
      <c r="K69" s="17"/>
      <c r="L69" s="21"/>
      <c r="M69" s="22">
        <v>8544.9054400000005</v>
      </c>
      <c r="N69" s="17">
        <v>0</v>
      </c>
      <c r="O69" s="23">
        <f>IF(OR(ISBLANK(misuo[[#This Row],[ميعاد التسليم]]),ISBLANK(misuo[[#This Row],[ميعاد الطلب]])),0,misuo[[#This Row],[ميعاد التسليم]]-misuo[[#This Row],[ميعاد الطلب]])</f>
        <v>8</v>
      </c>
      <c r="P69" s="23">
        <f>IF(OR(ISBLANK(misuo[[#This Row],[تاريخ التسليم]]),ISBLANK(misuo[[#This Row],[ميعاد الطلب]])),0,misuo[[#This Row],[تاريخ التسليم]]-misuo[[#This Row],[ميعاد الطلب]])</f>
        <v>8</v>
      </c>
      <c r="Q69" s="27">
        <v>45566</v>
      </c>
      <c r="R69" s="27">
        <v>45574</v>
      </c>
      <c r="S69" s="24">
        <v>45574</v>
      </c>
      <c r="T69" s="21" t="s">
        <v>131</v>
      </c>
      <c r="U69" s="21" t="s">
        <v>68</v>
      </c>
    </row>
    <row r="70" spans="1:21" ht="20.100000000000001" customHeight="1" x14ac:dyDescent="0.4">
      <c r="A70" s="21" t="s">
        <v>135</v>
      </c>
      <c r="B70" s="21" t="str">
        <f>IF(OR(misuo[[#This Row],[أسم العميل]]="تاكي",misuo[[#This Row],[أسم العميل]]="شيك هومز",misuo[[#This Row],[أسم العميل]]="اوسكار راتن"),"شركات","افراد")</f>
        <v>افراد</v>
      </c>
      <c r="C70" s="21" t="s">
        <v>134</v>
      </c>
      <c r="D70" s="19" t="s">
        <v>133</v>
      </c>
      <c r="E70" s="21" t="s">
        <v>133</v>
      </c>
      <c r="F70" s="21" t="s">
        <v>5</v>
      </c>
      <c r="G70" s="21" t="s">
        <v>38</v>
      </c>
      <c r="H70" s="21"/>
      <c r="I70" s="21"/>
      <c r="J70" s="21" t="s">
        <v>139</v>
      </c>
      <c r="K70" s="21" t="s">
        <v>138</v>
      </c>
      <c r="L70" s="21"/>
      <c r="M70" s="39">
        <v>4600</v>
      </c>
      <c r="N70" s="40">
        <v>0</v>
      </c>
      <c r="O70" s="26">
        <f>IF(OR(ISBLANK(misuo[[#This Row],[ميعاد التسليم]]),ISBLANK(misuo[[#This Row],[ميعاد الطلب]])),0,misuo[[#This Row],[ميعاد التسليم]]-misuo[[#This Row],[ميعاد الطلب]])</f>
        <v>8</v>
      </c>
      <c r="P70" s="26">
        <f>IF(OR(ISBLANK(misuo[[#This Row],[تاريخ التسليم]]),ISBLANK(misuo[[#This Row],[ميعاد الطلب]])),0,misuo[[#This Row],[تاريخ التسليم]]-misuo[[#This Row],[ميعاد الطلب]])</f>
        <v>8</v>
      </c>
      <c r="Q70" s="27">
        <v>45566</v>
      </c>
      <c r="R70" s="27">
        <v>45574</v>
      </c>
      <c r="S70" s="27">
        <v>45574</v>
      </c>
      <c r="T70" s="21" t="s">
        <v>131</v>
      </c>
      <c r="U70" s="21" t="s">
        <v>68</v>
      </c>
    </row>
    <row r="71" spans="1:21" ht="20.100000000000001" customHeight="1" x14ac:dyDescent="0.3">
      <c r="A71" s="21" t="s">
        <v>135</v>
      </c>
      <c r="B71" s="21" t="str">
        <f>IF(OR(misuo[[#This Row],[أسم العميل]]="تاكي",misuo[[#This Row],[أسم العميل]]="شيك هومز",misuo[[#This Row],[أسم العميل]]="اوسكار راتن"),"شركات","افراد")</f>
        <v>افراد</v>
      </c>
      <c r="C71" s="21" t="s">
        <v>134</v>
      </c>
      <c r="D71" s="19" t="s">
        <v>133</v>
      </c>
      <c r="E71" s="21" t="s">
        <v>133</v>
      </c>
      <c r="F71" s="21" t="s">
        <v>209</v>
      </c>
      <c r="G71" s="21" t="s">
        <v>137</v>
      </c>
      <c r="H71" s="21"/>
      <c r="I71" s="21"/>
      <c r="J71" s="21" t="s">
        <v>15</v>
      </c>
      <c r="K71" s="21" t="s">
        <v>136</v>
      </c>
      <c r="L71" s="21"/>
      <c r="M71" s="25">
        <v>10000</v>
      </c>
      <c r="N71" s="21">
        <v>0</v>
      </c>
      <c r="O71" s="26">
        <f>IF(OR(ISBLANK(misuo[[#This Row],[ميعاد التسليم]]),ISBLANK(misuo[[#This Row],[ميعاد الطلب]])),0,misuo[[#This Row],[ميعاد التسليم]]-misuo[[#This Row],[ميعاد الطلب]])</f>
        <v>8</v>
      </c>
      <c r="P71" s="26">
        <f>IF(OR(ISBLANK(misuo[[#This Row],[تاريخ التسليم]]),ISBLANK(misuo[[#This Row],[ميعاد الطلب]])),0,misuo[[#This Row],[تاريخ التسليم]]-misuo[[#This Row],[ميعاد الطلب]])</f>
        <v>8</v>
      </c>
      <c r="Q71" s="27">
        <v>45566</v>
      </c>
      <c r="R71" s="27">
        <v>45574</v>
      </c>
      <c r="S71" s="27">
        <v>45574</v>
      </c>
      <c r="T71" s="21" t="s">
        <v>131</v>
      </c>
      <c r="U71" s="21" t="s">
        <v>68</v>
      </c>
    </row>
    <row r="72" spans="1:21" ht="20.100000000000001" customHeight="1" x14ac:dyDescent="0.3">
      <c r="A72" s="21" t="s">
        <v>135</v>
      </c>
      <c r="B72" s="21" t="str">
        <f>IF(OR(misuo[[#This Row],[أسم العميل]]="تاكي",misuo[[#This Row],[أسم العميل]]="شيك هومز",misuo[[#This Row],[أسم العميل]]="اوسكار راتن"),"شركات","افراد")</f>
        <v>افراد</v>
      </c>
      <c r="C72" s="21" t="s">
        <v>134</v>
      </c>
      <c r="D72" s="19" t="s">
        <v>133</v>
      </c>
      <c r="E72" s="21" t="s">
        <v>133</v>
      </c>
      <c r="F72" s="21" t="s">
        <v>132</v>
      </c>
      <c r="G72" s="21"/>
      <c r="H72" s="21"/>
      <c r="I72" s="21"/>
      <c r="J72" s="21" t="s">
        <v>15</v>
      </c>
      <c r="K72" s="21" t="s">
        <v>116</v>
      </c>
      <c r="L72" s="21"/>
      <c r="M72" s="25">
        <v>10000</v>
      </c>
      <c r="N72" s="21">
        <v>0</v>
      </c>
      <c r="O72" s="26">
        <f>IF(OR(ISBLANK(misuo[[#This Row],[ميعاد التسليم]]),ISBLANK(misuo[[#This Row],[ميعاد الطلب]])),0,misuo[[#This Row],[ميعاد التسليم]]-misuo[[#This Row],[ميعاد الطلب]])</f>
        <v>8</v>
      </c>
      <c r="P72" s="26">
        <f>IF(OR(ISBLANK(misuo[[#This Row],[تاريخ التسليم]]),ISBLANK(misuo[[#This Row],[ميعاد الطلب]])),0,misuo[[#This Row],[تاريخ التسليم]]-misuo[[#This Row],[ميعاد الطلب]])</f>
        <v>8</v>
      </c>
      <c r="Q72" s="27">
        <v>45566</v>
      </c>
      <c r="R72" s="27">
        <v>45574</v>
      </c>
      <c r="S72" s="27">
        <v>45574</v>
      </c>
      <c r="T72" s="21" t="s">
        <v>131</v>
      </c>
      <c r="U72" s="21" t="s">
        <v>68</v>
      </c>
    </row>
    <row r="73" spans="1:21" ht="20.100000000000001" customHeight="1" x14ac:dyDescent="0.3">
      <c r="A73" s="21" t="s">
        <v>32</v>
      </c>
      <c r="B73" s="21" t="str">
        <f>IF(OR(misuo[[#This Row],[أسم العميل]]="تاكي",misuo[[#This Row],[أسم العميل]]="شيك هومز",misuo[[#This Row],[أسم العميل]]="اوسكار راتن"),"شركات","افراد")</f>
        <v>شركات</v>
      </c>
      <c r="C73" s="21" t="s">
        <v>73</v>
      </c>
      <c r="D73" s="34" t="s">
        <v>289</v>
      </c>
      <c r="E73" s="21" t="s">
        <v>32</v>
      </c>
      <c r="F73" s="21" t="s">
        <v>209</v>
      </c>
      <c r="G73" s="21" t="s">
        <v>72</v>
      </c>
      <c r="H73" s="21"/>
      <c r="I73" s="21"/>
      <c r="J73" s="21" t="s">
        <v>10</v>
      </c>
      <c r="K73" s="21" t="s">
        <v>129</v>
      </c>
      <c r="L73" s="21"/>
      <c r="M73" s="25">
        <v>14550</v>
      </c>
      <c r="N73" s="21" t="s">
        <v>1</v>
      </c>
      <c r="O73" s="26">
        <f>IF(OR(ISBLANK(misuo[[#This Row],[ميعاد التسليم]]),ISBLANK(misuo[[#This Row],[ميعاد الطلب]])),0,misuo[[#This Row],[ميعاد التسليم]]-misuo[[#This Row],[ميعاد الطلب]])</f>
        <v>21</v>
      </c>
      <c r="P73" s="26">
        <f>IF(OR(ISBLANK(misuo[[#This Row],[تاريخ التسليم]]),ISBLANK(misuo[[#This Row],[ميعاد الطلب]])),0,misuo[[#This Row],[تاريخ التسليم]]-misuo[[#This Row],[ميعاد الطلب]])</f>
        <v>22</v>
      </c>
      <c r="Q73" s="27">
        <v>45573</v>
      </c>
      <c r="R73" s="27">
        <v>45594</v>
      </c>
      <c r="S73" s="33">
        <v>45595</v>
      </c>
      <c r="T73" s="21" t="s">
        <v>69</v>
      </c>
      <c r="U73" s="21" t="s">
        <v>68</v>
      </c>
    </row>
    <row r="74" spans="1:21" ht="20.100000000000001" customHeight="1" x14ac:dyDescent="0.3">
      <c r="A74" s="21" t="s">
        <v>32</v>
      </c>
      <c r="B74" s="21" t="str">
        <f>IF(OR(misuo[[#This Row],[أسم العميل]]="تاكي",misuo[[#This Row],[أسم العميل]]="شيك هومز",misuo[[#This Row],[أسم العميل]]="اوسكار راتن"),"شركات","افراد")</f>
        <v>شركات</v>
      </c>
      <c r="C74" s="21" t="s">
        <v>130</v>
      </c>
      <c r="D74" s="19" t="s">
        <v>283</v>
      </c>
      <c r="E74" s="21" t="s">
        <v>32</v>
      </c>
      <c r="F74" s="21" t="s">
        <v>209</v>
      </c>
      <c r="G74" s="21" t="s">
        <v>72</v>
      </c>
      <c r="H74" s="21"/>
      <c r="I74" s="21"/>
      <c r="J74" s="21" t="s">
        <v>10</v>
      </c>
      <c r="K74" s="21" t="s">
        <v>129</v>
      </c>
      <c r="L74" s="21"/>
      <c r="M74" s="25">
        <v>14550</v>
      </c>
      <c r="N74" s="21" t="s">
        <v>1</v>
      </c>
      <c r="O74" s="26">
        <f>IF(OR(ISBLANK(misuo[[#This Row],[ميعاد التسليم]]),ISBLANK(misuo[[#This Row],[ميعاد الطلب]])),0,misuo[[#This Row],[ميعاد التسليم]]-misuo[[#This Row],[ميعاد الطلب]])</f>
        <v>22</v>
      </c>
      <c r="P74" s="26">
        <f>IF(OR(ISBLANK(misuo[[#This Row],[تاريخ التسليم]]),ISBLANK(misuo[[#This Row],[ميعاد الطلب]])),0,misuo[[#This Row],[تاريخ التسليم]]-misuo[[#This Row],[ميعاد الطلب]])</f>
        <v>8</v>
      </c>
      <c r="Q74" s="27">
        <v>45572</v>
      </c>
      <c r="R74" s="27">
        <v>45594</v>
      </c>
      <c r="S74" s="27">
        <v>45580</v>
      </c>
      <c r="T74" s="21" t="s">
        <v>69</v>
      </c>
      <c r="U74" s="21" t="s">
        <v>68</v>
      </c>
    </row>
    <row r="75" spans="1:21" ht="20.100000000000001" customHeight="1" x14ac:dyDescent="0.3">
      <c r="A75" s="21" t="s">
        <v>32</v>
      </c>
      <c r="B75" s="21" t="str">
        <f>IF(OR(misuo[[#This Row],[أسم العميل]]="تاكي",misuo[[#This Row],[أسم العميل]]="شيك هومز",misuo[[#This Row],[أسم العميل]]="اوسكار راتن"),"شركات","افراد")</f>
        <v>شركات</v>
      </c>
      <c r="C75" s="21"/>
      <c r="D75" s="34" t="s">
        <v>286</v>
      </c>
      <c r="E75" s="21" t="s">
        <v>32</v>
      </c>
      <c r="F75" s="21" t="s">
        <v>209</v>
      </c>
      <c r="G75" s="21" t="s">
        <v>72</v>
      </c>
      <c r="H75" s="21"/>
      <c r="I75" s="21"/>
      <c r="J75" s="21" t="s">
        <v>10</v>
      </c>
      <c r="K75" s="21" t="s">
        <v>116</v>
      </c>
      <c r="L75" s="21"/>
      <c r="M75" s="25">
        <v>14550</v>
      </c>
      <c r="N75" s="21" t="s">
        <v>295</v>
      </c>
      <c r="O75" s="26">
        <f>IF(OR(ISBLANK(misuo[[#This Row],[ميعاد التسليم]]),ISBLANK(misuo[[#This Row],[ميعاد الطلب]])),0,misuo[[#This Row],[ميعاد التسليم]]-misuo[[#This Row],[ميعاد الطلب]])</f>
        <v>21</v>
      </c>
      <c r="P75" s="26">
        <f>IF(OR(ISBLANK(misuo[[#This Row],[تاريخ التسليم]]),ISBLANK(misuo[[#This Row],[ميعاد الطلب]])),0,misuo[[#This Row],[تاريخ التسليم]]-misuo[[#This Row],[ميعاد الطلب]])</f>
        <v>23</v>
      </c>
      <c r="Q75" s="27">
        <v>45575</v>
      </c>
      <c r="R75" s="27">
        <v>45596</v>
      </c>
      <c r="S75" s="27">
        <v>45598</v>
      </c>
      <c r="T75" s="21" t="s">
        <v>69</v>
      </c>
      <c r="U75" s="21" t="s">
        <v>68</v>
      </c>
    </row>
    <row r="76" spans="1:21" ht="20.100000000000001" customHeight="1" x14ac:dyDescent="0.3">
      <c r="A76" s="21" t="s">
        <v>128</v>
      </c>
      <c r="B76" s="21" t="str">
        <f>IF(OR(misuo[[#This Row],[أسم العميل]]="تاكي",misuo[[#This Row],[أسم العميل]]="شيك هومز",misuo[[#This Row],[أسم العميل]]="اوسكار راتن"),"شركات","افراد")</f>
        <v>افراد</v>
      </c>
      <c r="C76" s="21" t="s">
        <v>127</v>
      </c>
      <c r="D76" s="19" t="s">
        <v>282</v>
      </c>
      <c r="E76" s="17" t="s">
        <v>6</v>
      </c>
      <c r="F76" s="21" t="s">
        <v>5</v>
      </c>
      <c r="G76" s="21" t="s">
        <v>24</v>
      </c>
      <c r="H76" s="21" t="s">
        <v>126</v>
      </c>
      <c r="I76" s="21" t="s">
        <v>125</v>
      </c>
      <c r="J76" s="21" t="s">
        <v>120</v>
      </c>
      <c r="K76" s="21"/>
      <c r="L76" s="21"/>
      <c r="M76" s="25">
        <v>12899</v>
      </c>
      <c r="N76" s="21" t="s">
        <v>295</v>
      </c>
      <c r="O76" s="26">
        <f>IF(OR(ISBLANK(misuo[[#This Row],[ميعاد التسليم]]),ISBLANK(misuo[[#This Row],[ميعاد الطلب]])),0,misuo[[#This Row],[ميعاد التسليم]]-misuo[[#This Row],[ميعاد الطلب]])</f>
        <v>65</v>
      </c>
      <c r="P76" s="26">
        <f>IF(OR(ISBLANK(misuo[[#This Row],[تاريخ التسليم]]),ISBLANK(misuo[[#This Row],[ميعاد الطلب]])),0,misuo[[#This Row],[تاريخ التسليم]]-misuo[[#This Row],[ميعاد الطلب]])</f>
        <v>20</v>
      </c>
      <c r="Q76" s="27">
        <v>45578</v>
      </c>
      <c r="R76" s="27">
        <v>45643</v>
      </c>
      <c r="S76" s="27">
        <v>45598</v>
      </c>
      <c r="T76" s="21" t="s">
        <v>69</v>
      </c>
      <c r="U76" s="21" t="s">
        <v>68</v>
      </c>
    </row>
    <row r="77" spans="1:21" ht="20.100000000000001" customHeight="1" x14ac:dyDescent="0.3">
      <c r="A77" s="21" t="s">
        <v>124</v>
      </c>
      <c r="B77" s="21" t="str">
        <f>IF(OR(misuo[[#This Row],[أسم العميل]]="تاكي",misuo[[#This Row],[أسم العميل]]="شيك هومز",misuo[[#This Row],[أسم العميل]]="اوسكار راتن"),"شركات","افراد")</f>
        <v>افراد</v>
      </c>
      <c r="C77" s="21" t="s">
        <v>97</v>
      </c>
      <c r="D77" s="19" t="s">
        <v>282</v>
      </c>
      <c r="E77" s="17" t="s">
        <v>6</v>
      </c>
      <c r="F77" s="21" t="s">
        <v>5</v>
      </c>
      <c r="G77" s="21" t="s">
        <v>24</v>
      </c>
      <c r="H77" s="21" t="s">
        <v>23</v>
      </c>
      <c r="I77" s="38">
        <v>80</v>
      </c>
      <c r="J77" s="21" t="s">
        <v>2</v>
      </c>
      <c r="K77" s="21"/>
      <c r="L77" s="21"/>
      <c r="M77" s="25">
        <v>10499</v>
      </c>
      <c r="N77" s="21" t="s">
        <v>1</v>
      </c>
      <c r="O77" s="26">
        <f>IF(OR(ISBLANK(misuo[[#This Row],[ميعاد التسليم]]),ISBLANK(misuo[[#This Row],[ميعاد الطلب]])),0,misuo[[#This Row],[ميعاد التسليم]]-misuo[[#This Row],[ميعاد الطلب]])</f>
        <v>64</v>
      </c>
      <c r="P77" s="26">
        <f>IF(OR(ISBLANK(misuo[[#This Row],[تاريخ التسليم]]),ISBLANK(misuo[[#This Row],[ميعاد الطلب]])),0,misuo[[#This Row],[تاريخ التسليم]]-misuo[[#This Row],[ميعاد الطلب]])</f>
        <v>5</v>
      </c>
      <c r="Q77" s="27">
        <v>45581</v>
      </c>
      <c r="R77" s="27">
        <v>45645</v>
      </c>
      <c r="S77" s="27">
        <v>45586</v>
      </c>
      <c r="T77" s="21" t="s">
        <v>69</v>
      </c>
      <c r="U77" s="21" t="s">
        <v>68</v>
      </c>
    </row>
    <row r="78" spans="1:21" ht="20.100000000000001" customHeight="1" x14ac:dyDescent="0.3">
      <c r="A78" s="21" t="s">
        <v>123</v>
      </c>
      <c r="B78" s="21" t="str">
        <f>IF(OR(misuo[[#This Row],[أسم العميل]]="تاكي",misuo[[#This Row],[أسم العميل]]="شيك هومز",misuo[[#This Row],[أسم العميل]]="اوسكار راتن"),"شركات","افراد")</f>
        <v>افراد</v>
      </c>
      <c r="C78" s="21" t="s">
        <v>122</v>
      </c>
      <c r="D78" s="19" t="s">
        <v>284</v>
      </c>
      <c r="E78" s="17" t="s">
        <v>6</v>
      </c>
      <c r="F78" s="21" t="s">
        <v>5</v>
      </c>
      <c r="G78" s="21" t="s">
        <v>24</v>
      </c>
      <c r="H78" s="21" t="s">
        <v>3</v>
      </c>
      <c r="I78" s="21" t="s">
        <v>121</v>
      </c>
      <c r="J78" s="21" t="s">
        <v>120</v>
      </c>
      <c r="K78" s="21"/>
      <c r="L78" s="21"/>
      <c r="M78" s="25">
        <v>12899</v>
      </c>
      <c r="N78" s="21" t="s">
        <v>1</v>
      </c>
      <c r="O78" s="26">
        <f>IF(OR(ISBLANK(misuo[[#This Row],[ميعاد التسليم]]),ISBLANK(misuo[[#This Row],[ميعاد الطلب]])),0,misuo[[#This Row],[ميعاد التسليم]]-misuo[[#This Row],[ميعاد الطلب]])</f>
        <v>66</v>
      </c>
      <c r="P78" s="26">
        <f>IF(OR(ISBLANK(misuo[[#This Row],[تاريخ التسليم]]),ISBLANK(misuo[[#This Row],[ميعاد الطلب]])),0,misuo[[#This Row],[تاريخ التسليم]]-misuo[[#This Row],[ميعاد الطلب]])</f>
        <v>47</v>
      </c>
      <c r="Q78" s="27">
        <v>45582</v>
      </c>
      <c r="R78" s="27">
        <v>45648</v>
      </c>
      <c r="S78" s="27">
        <v>45629</v>
      </c>
      <c r="T78" s="21" t="s">
        <v>294</v>
      </c>
      <c r="U78" s="21" t="s">
        <v>68</v>
      </c>
    </row>
    <row r="79" spans="1:21" ht="20.100000000000001" customHeight="1" x14ac:dyDescent="0.3">
      <c r="A79" s="21" t="s">
        <v>119</v>
      </c>
      <c r="B79" s="21" t="str">
        <f>IF(OR(misuo[[#This Row],[أسم العميل]]="تاكي",misuo[[#This Row],[أسم العميل]]="شيك هومز",misuo[[#This Row],[أسم العميل]]="اوسكار راتن"),"شركات","افراد")</f>
        <v>افراد</v>
      </c>
      <c r="C79" s="21" t="s">
        <v>118</v>
      </c>
      <c r="D79" s="19" t="s">
        <v>283</v>
      </c>
      <c r="E79" s="21" t="s">
        <v>107</v>
      </c>
      <c r="F79" s="21" t="s">
        <v>5</v>
      </c>
      <c r="G79" s="21" t="s">
        <v>52</v>
      </c>
      <c r="H79" s="21" t="s">
        <v>117</v>
      </c>
      <c r="I79" s="21">
        <v>140</v>
      </c>
      <c r="J79" s="21" t="s">
        <v>116</v>
      </c>
      <c r="K79" s="21" t="s">
        <v>115</v>
      </c>
      <c r="L79" s="21"/>
      <c r="M79" s="25">
        <v>5135</v>
      </c>
      <c r="N79" s="21" t="s">
        <v>1</v>
      </c>
      <c r="O79" s="26">
        <f>IF(OR(ISBLANK(misuo[[#This Row],[ميعاد التسليم]]),ISBLANK(misuo[[#This Row],[ميعاد الطلب]])),0,misuo[[#This Row],[ميعاد التسليم]]-misuo[[#This Row],[ميعاد الطلب]])</f>
        <v>28</v>
      </c>
      <c r="P79" s="26">
        <f>IF(OR(ISBLANK(misuo[[#This Row],[تاريخ التسليم]]),ISBLANK(misuo[[#This Row],[ميعاد الطلب]])),0,misuo[[#This Row],[تاريخ التسليم]]-misuo[[#This Row],[ميعاد الطلب]])</f>
        <v>25</v>
      </c>
      <c r="Q79" s="27">
        <v>45585</v>
      </c>
      <c r="R79" s="27">
        <v>45613</v>
      </c>
      <c r="S79" s="27">
        <v>45610</v>
      </c>
      <c r="T79" s="21" t="s">
        <v>69</v>
      </c>
      <c r="U79" s="21" t="s">
        <v>68</v>
      </c>
    </row>
    <row r="80" spans="1:21" ht="20.100000000000001" customHeight="1" x14ac:dyDescent="0.3">
      <c r="A80" s="21" t="s">
        <v>32</v>
      </c>
      <c r="B80" s="21" t="str">
        <f>IF(OR(misuo[[#This Row],[أسم العميل]]="تاكي",misuo[[#This Row],[أسم العميل]]="شيك هومز",misuo[[#This Row],[أسم العميل]]="اوسكار راتن"),"شركات","افراد")</f>
        <v>شركات</v>
      </c>
      <c r="C80" s="21" t="s">
        <v>42</v>
      </c>
      <c r="D80" s="19" t="s">
        <v>283</v>
      </c>
      <c r="E80" s="21" t="s">
        <v>32</v>
      </c>
      <c r="F80" s="21" t="s">
        <v>5</v>
      </c>
      <c r="G80" s="21" t="s">
        <v>24</v>
      </c>
      <c r="H80" s="21" t="s">
        <v>34</v>
      </c>
      <c r="I80" s="21">
        <v>100</v>
      </c>
      <c r="J80" s="21" t="s">
        <v>33</v>
      </c>
      <c r="K80" s="21"/>
      <c r="L80" s="21"/>
      <c r="M80" s="41">
        <v>12777.5</v>
      </c>
      <c r="N80" s="18" t="s">
        <v>295</v>
      </c>
      <c r="O80" s="26">
        <f>IF(OR(ISBLANK(misuo[[#This Row],[ميعاد التسليم]]),ISBLANK(misuo[[#This Row],[ميعاد الطلب]])),0,misuo[[#This Row],[ميعاد التسليم]]-misuo[[#This Row],[ميعاد الطلب]])</f>
        <v>21</v>
      </c>
      <c r="P80" s="26">
        <f>IF(OR(ISBLANK(misuo[[#This Row],[تاريخ التسليم]]),ISBLANK(misuo[[#This Row],[ميعاد الطلب]])),0,misuo[[#This Row],[تاريخ التسليم]]-misuo[[#This Row],[ميعاد الطلب]])</f>
        <v>27</v>
      </c>
      <c r="Q80" s="27">
        <v>45587</v>
      </c>
      <c r="R80" s="27">
        <v>45608</v>
      </c>
      <c r="S80" s="27">
        <v>45614</v>
      </c>
      <c r="T80" s="21" t="s">
        <v>69</v>
      </c>
      <c r="U80" s="21" t="s">
        <v>68</v>
      </c>
    </row>
    <row r="81" spans="1:21" ht="20.100000000000001" customHeight="1" x14ac:dyDescent="0.3">
      <c r="A81" s="21" t="s">
        <v>32</v>
      </c>
      <c r="B81" s="21" t="str">
        <f>IF(OR(misuo[[#This Row],[أسم العميل]]="تاكي",misuo[[#This Row],[أسم العميل]]="شيك هومز",misuo[[#This Row],[أسم العميل]]="اوسكار راتن"),"شركات","افراد")</f>
        <v>شركات</v>
      </c>
      <c r="C81" s="21" t="s">
        <v>42</v>
      </c>
      <c r="D81" s="19" t="s">
        <v>283</v>
      </c>
      <c r="E81" s="21" t="s">
        <v>32</v>
      </c>
      <c r="F81" s="21" t="s">
        <v>5</v>
      </c>
      <c r="G81" s="21" t="s">
        <v>24</v>
      </c>
      <c r="H81" s="21" t="s">
        <v>34</v>
      </c>
      <c r="I81" s="21">
        <v>100</v>
      </c>
      <c r="J81" s="21" t="s">
        <v>33</v>
      </c>
      <c r="K81" s="21"/>
      <c r="L81" s="21"/>
      <c r="M81" s="25">
        <v>12777.5</v>
      </c>
      <c r="N81" s="21" t="s">
        <v>295</v>
      </c>
      <c r="O81" s="26">
        <f>IF(OR(ISBLANK(misuo[[#This Row],[ميعاد التسليم]]),ISBLANK(misuo[[#This Row],[ميعاد الطلب]])),0,misuo[[#This Row],[ميعاد التسليم]]-misuo[[#This Row],[ميعاد الطلب]])</f>
        <v>21</v>
      </c>
      <c r="P81" s="26">
        <f>IF(OR(ISBLANK(misuo[[#This Row],[تاريخ التسليم]]),ISBLANK(misuo[[#This Row],[ميعاد الطلب]])),0,misuo[[#This Row],[تاريخ التسليم]]-misuo[[#This Row],[ميعاد الطلب]])</f>
        <v>27</v>
      </c>
      <c r="Q81" s="27">
        <v>45587</v>
      </c>
      <c r="R81" s="27">
        <v>45608</v>
      </c>
      <c r="S81" s="27">
        <v>45614</v>
      </c>
      <c r="T81" s="21" t="s">
        <v>69</v>
      </c>
      <c r="U81" s="21" t="s">
        <v>68</v>
      </c>
    </row>
    <row r="82" spans="1:21" ht="20.100000000000001" customHeight="1" x14ac:dyDescent="0.3">
      <c r="A82" s="21" t="s">
        <v>114</v>
      </c>
      <c r="B82" s="21" t="str">
        <f>IF(OR(misuo[[#This Row],[أسم العميل]]="تاكي",misuo[[#This Row],[أسم العميل]]="شيك هومز",misuo[[#This Row],[أسم العميل]]="اوسكار راتن"),"شركات","افراد")</f>
        <v>افراد</v>
      </c>
      <c r="C82" s="21" t="s">
        <v>113</v>
      </c>
      <c r="D82" s="19" t="s">
        <v>283</v>
      </c>
      <c r="E82" s="17" t="s">
        <v>6</v>
      </c>
      <c r="F82" s="21" t="s">
        <v>5</v>
      </c>
      <c r="G82" s="21" t="s">
        <v>52</v>
      </c>
      <c r="H82" s="21" t="s">
        <v>51</v>
      </c>
      <c r="I82" s="21">
        <v>120</v>
      </c>
      <c r="J82" s="21" t="s">
        <v>2</v>
      </c>
      <c r="K82" s="21"/>
      <c r="L82" s="21"/>
      <c r="M82" s="25">
        <v>8943</v>
      </c>
      <c r="N82" s="21" t="s">
        <v>295</v>
      </c>
      <c r="O82" s="26">
        <f>IF(OR(ISBLANK(misuo[[#This Row],[ميعاد التسليم]]),ISBLANK(misuo[[#This Row],[ميعاد الطلب]])),0,misuo[[#This Row],[ميعاد التسليم]]-misuo[[#This Row],[ميعاد الطلب]])</f>
        <v>24</v>
      </c>
      <c r="P82" s="26">
        <f>IF(OR(ISBLANK(misuo[[#This Row],[تاريخ التسليم]]),ISBLANK(misuo[[#This Row],[ميعاد الطلب]])),0,misuo[[#This Row],[تاريخ التسليم]]-misuo[[#This Row],[ميعاد الطلب]])</f>
        <v>28</v>
      </c>
      <c r="Q82" s="27">
        <v>45586</v>
      </c>
      <c r="R82" s="27">
        <v>45610</v>
      </c>
      <c r="S82" s="27">
        <v>45614</v>
      </c>
      <c r="T82" s="21" t="s">
        <v>69</v>
      </c>
      <c r="U82" s="21" t="s">
        <v>68</v>
      </c>
    </row>
    <row r="83" spans="1:21" ht="20.100000000000001" customHeight="1" x14ac:dyDescent="0.3">
      <c r="A83" s="21" t="s">
        <v>32</v>
      </c>
      <c r="B83" s="21" t="str">
        <f>IF(OR(misuo[[#This Row],[أسم العميل]]="تاكي",misuo[[#This Row],[أسم العميل]]="شيك هومز",misuo[[#This Row],[أسم العميل]]="اوسكار راتن"),"شركات","افراد")</f>
        <v>شركات</v>
      </c>
      <c r="C83" s="21"/>
      <c r="D83" s="34" t="s">
        <v>286</v>
      </c>
      <c r="E83" s="21" t="s">
        <v>32</v>
      </c>
      <c r="F83" s="21" t="s">
        <v>209</v>
      </c>
      <c r="G83" s="21" t="s">
        <v>72</v>
      </c>
      <c r="H83" s="21"/>
      <c r="I83" s="21"/>
      <c r="J83" s="21" t="s">
        <v>15</v>
      </c>
      <c r="K83" s="21"/>
      <c r="L83" s="21"/>
      <c r="M83" s="25">
        <v>15516</v>
      </c>
      <c r="N83" s="21" t="s">
        <v>1</v>
      </c>
      <c r="O83" s="26">
        <f>IF(OR(ISBLANK(misuo[[#This Row],[ميعاد التسليم]]),ISBLANK(misuo[[#This Row],[ميعاد الطلب]])),0,misuo[[#This Row],[ميعاد التسليم]]-misuo[[#This Row],[ميعاد الطلب]])</f>
        <v>21</v>
      </c>
      <c r="P83" s="26">
        <f>IF(OR(ISBLANK(misuo[[#This Row],[تاريخ التسليم]]),ISBLANK(misuo[[#This Row],[ميعاد الطلب]])),0,misuo[[#This Row],[تاريخ التسليم]]-misuo[[#This Row],[ميعاد الطلب]])</f>
        <v>6</v>
      </c>
      <c r="Q83" s="27">
        <v>45589</v>
      </c>
      <c r="R83" s="27">
        <v>45610</v>
      </c>
      <c r="S83" s="33">
        <v>45595</v>
      </c>
      <c r="T83" s="21" t="s">
        <v>69</v>
      </c>
      <c r="U83" s="21" t="s">
        <v>68</v>
      </c>
    </row>
    <row r="84" spans="1:21" ht="20.100000000000001" customHeight="1" x14ac:dyDescent="0.3">
      <c r="A84" s="21" t="s">
        <v>99</v>
      </c>
      <c r="B84" s="21" t="str">
        <f>IF(OR(misuo[[#This Row],[أسم العميل]]="تاكي",misuo[[#This Row],[أسم العميل]]="شيك هومز",misuo[[#This Row],[أسم العميل]]="اوسكار راتن"),"شركات","افراد")</f>
        <v>افراد</v>
      </c>
      <c r="C84" s="21" t="s">
        <v>112</v>
      </c>
      <c r="D84" s="19" t="s">
        <v>283</v>
      </c>
      <c r="E84" s="17" t="s">
        <v>6</v>
      </c>
      <c r="F84" s="21" t="s">
        <v>5</v>
      </c>
      <c r="G84" s="21" t="s">
        <v>24</v>
      </c>
      <c r="H84" s="21" t="s">
        <v>31</v>
      </c>
      <c r="I84" s="21">
        <v>90</v>
      </c>
      <c r="J84" s="21" t="s">
        <v>15</v>
      </c>
      <c r="K84" s="21"/>
      <c r="L84" s="21"/>
      <c r="M84" s="25">
        <v>11649</v>
      </c>
      <c r="N84" s="21" t="s">
        <v>295</v>
      </c>
      <c r="O84" s="26">
        <f>IF(OR(ISBLANK(misuo[[#This Row],[ميعاد التسليم]]),ISBLANK(misuo[[#This Row],[ميعاد الطلب]])),0,misuo[[#This Row],[ميعاد التسليم]]-misuo[[#This Row],[ميعاد الطلب]])</f>
        <v>15</v>
      </c>
      <c r="P84" s="26">
        <f>IF(OR(ISBLANK(misuo[[#This Row],[تاريخ التسليم]]),ISBLANK(misuo[[#This Row],[ميعاد الطلب]])),0,misuo[[#This Row],[تاريخ التسليم]]-misuo[[#This Row],[ميعاد الطلب]])</f>
        <v>23</v>
      </c>
      <c r="Q84" s="27">
        <v>45591</v>
      </c>
      <c r="R84" s="27">
        <v>45606</v>
      </c>
      <c r="S84" s="27">
        <v>45614</v>
      </c>
      <c r="T84" s="21" t="s">
        <v>69</v>
      </c>
      <c r="U84" s="21" t="s">
        <v>68</v>
      </c>
    </row>
    <row r="85" spans="1:21" ht="20.100000000000001" customHeight="1" x14ac:dyDescent="0.3">
      <c r="A85" s="21" t="s">
        <v>99</v>
      </c>
      <c r="B85" s="21" t="str">
        <f>IF(OR(misuo[[#This Row],[أسم العميل]]="تاكي",misuo[[#This Row],[أسم العميل]]="شيك هومز",misuo[[#This Row],[أسم العميل]]="اوسكار راتن"),"شركات","افراد")</f>
        <v>افراد</v>
      </c>
      <c r="C85" s="21" t="s">
        <v>112</v>
      </c>
      <c r="D85" s="19" t="s">
        <v>283</v>
      </c>
      <c r="E85" s="17" t="s">
        <v>6</v>
      </c>
      <c r="F85" s="21" t="s">
        <v>5</v>
      </c>
      <c r="G85" s="21" t="s">
        <v>24</v>
      </c>
      <c r="H85" s="21" t="s">
        <v>31</v>
      </c>
      <c r="I85" s="21">
        <v>90</v>
      </c>
      <c r="J85" s="21" t="s">
        <v>15</v>
      </c>
      <c r="K85" s="21"/>
      <c r="L85" s="21"/>
      <c r="M85" s="25">
        <v>11649</v>
      </c>
      <c r="N85" s="21" t="s">
        <v>295</v>
      </c>
      <c r="O85" s="26">
        <f>IF(OR(ISBLANK(misuo[[#This Row],[ميعاد التسليم]]),ISBLANK(misuo[[#This Row],[ميعاد الطلب]])),0,misuo[[#This Row],[ميعاد التسليم]]-misuo[[#This Row],[ميعاد الطلب]])</f>
        <v>15</v>
      </c>
      <c r="P85" s="26">
        <f>IF(OR(ISBLANK(misuo[[#This Row],[تاريخ التسليم]]),ISBLANK(misuo[[#This Row],[ميعاد الطلب]])),0,misuo[[#This Row],[تاريخ التسليم]]-misuo[[#This Row],[ميعاد الطلب]])</f>
        <v>23</v>
      </c>
      <c r="Q85" s="27">
        <v>45591</v>
      </c>
      <c r="R85" s="27">
        <v>45606</v>
      </c>
      <c r="S85" s="27">
        <v>45614</v>
      </c>
      <c r="T85" s="21" t="s">
        <v>69</v>
      </c>
      <c r="U85" s="21" t="s">
        <v>68</v>
      </c>
    </row>
    <row r="86" spans="1:21" ht="20.100000000000001" customHeight="1" x14ac:dyDescent="0.3">
      <c r="A86" s="21" t="s">
        <v>111</v>
      </c>
      <c r="B86" s="21" t="str">
        <f>IF(OR(misuo[[#This Row],[أسم العميل]]="تاكي",misuo[[#This Row],[أسم العميل]]="شيك هومز",misuo[[#This Row],[أسم العميل]]="اوسكار راتن"),"شركات","افراد")</f>
        <v>افراد</v>
      </c>
      <c r="C86" s="21" t="s">
        <v>58</v>
      </c>
      <c r="D86" s="19" t="s">
        <v>282</v>
      </c>
      <c r="E86" s="17" t="s">
        <v>6</v>
      </c>
      <c r="F86" s="21" t="s">
        <v>5</v>
      </c>
      <c r="G86" s="21" t="s">
        <v>52</v>
      </c>
      <c r="H86" s="21" t="s">
        <v>110</v>
      </c>
      <c r="I86" s="21">
        <v>100</v>
      </c>
      <c r="J86" s="21" t="s">
        <v>2</v>
      </c>
      <c r="K86" s="21"/>
      <c r="L86" s="21"/>
      <c r="M86" s="25">
        <v>5100</v>
      </c>
      <c r="N86" s="21" t="s">
        <v>295</v>
      </c>
      <c r="O86" s="26">
        <f>IF(OR(ISBLANK(misuo[[#This Row],[ميعاد التسليم]]),ISBLANK(misuo[[#This Row],[ميعاد الطلب]])),0,misuo[[#This Row],[ميعاد التسليم]]-misuo[[#This Row],[ميعاد الطلب]])</f>
        <v>14</v>
      </c>
      <c r="P86" s="26">
        <f>IF(OR(ISBLANK(misuo[[#This Row],[تاريخ التسليم]]),ISBLANK(misuo[[#This Row],[ميعاد الطلب]])),0,misuo[[#This Row],[تاريخ التسليم]]-misuo[[#This Row],[ميعاد الطلب]])</f>
        <v>24</v>
      </c>
      <c r="Q86" s="27">
        <v>45593</v>
      </c>
      <c r="R86" s="27">
        <v>45607</v>
      </c>
      <c r="S86" s="27">
        <v>45617</v>
      </c>
      <c r="T86" s="21" t="s">
        <v>69</v>
      </c>
      <c r="U86" s="21" t="s">
        <v>68</v>
      </c>
    </row>
    <row r="87" spans="1:21" ht="20.100000000000001" customHeight="1" x14ac:dyDescent="0.3">
      <c r="A87" s="21" t="s">
        <v>111</v>
      </c>
      <c r="B87" s="21" t="str">
        <f>IF(OR(misuo[[#This Row],[أسم العميل]]="تاكي",misuo[[#This Row],[أسم العميل]]="شيك هومز",misuo[[#This Row],[أسم العميل]]="اوسكار راتن"),"شركات","افراد")</f>
        <v>افراد</v>
      </c>
      <c r="C87" s="21" t="s">
        <v>58</v>
      </c>
      <c r="D87" s="19" t="s">
        <v>282</v>
      </c>
      <c r="E87" s="17" t="s">
        <v>6</v>
      </c>
      <c r="F87" s="21" t="s">
        <v>5</v>
      </c>
      <c r="G87" s="21" t="s">
        <v>52</v>
      </c>
      <c r="H87" s="21" t="s">
        <v>110</v>
      </c>
      <c r="I87" s="21">
        <v>120</v>
      </c>
      <c r="J87" s="21" t="s">
        <v>2</v>
      </c>
      <c r="K87" s="21"/>
      <c r="L87" s="21"/>
      <c r="M87" s="25">
        <v>5300</v>
      </c>
      <c r="N87" s="21" t="s">
        <v>295</v>
      </c>
      <c r="O87" s="26">
        <f>IF(OR(ISBLANK(misuo[[#This Row],[ميعاد التسليم]]),ISBLANK(misuo[[#This Row],[ميعاد الطلب]])),0,misuo[[#This Row],[ميعاد التسليم]]-misuo[[#This Row],[ميعاد الطلب]])</f>
        <v>14</v>
      </c>
      <c r="P87" s="26">
        <f>IF(OR(ISBLANK(misuo[[#This Row],[تاريخ التسليم]]),ISBLANK(misuo[[#This Row],[ميعاد الطلب]])),0,misuo[[#This Row],[تاريخ التسليم]]-misuo[[#This Row],[ميعاد الطلب]])</f>
        <v>24</v>
      </c>
      <c r="Q87" s="27">
        <v>45593</v>
      </c>
      <c r="R87" s="27">
        <v>45607</v>
      </c>
      <c r="S87" s="27">
        <v>45617</v>
      </c>
      <c r="T87" s="21" t="s">
        <v>69</v>
      </c>
      <c r="U87" s="21" t="s">
        <v>68</v>
      </c>
    </row>
    <row r="88" spans="1:21" ht="20.100000000000001" customHeight="1" x14ac:dyDescent="0.3">
      <c r="A88" s="21" t="s">
        <v>271</v>
      </c>
      <c r="B88" s="21" t="str">
        <f>IF(OR(misuo[[#This Row],[أسم العميل]]="تاكي",misuo[[#This Row],[أسم العميل]]="شيك هومز",misuo[[#This Row],[أسم العميل]]="اوسكار راتن"),"شركات","افراد")</f>
        <v>افراد</v>
      </c>
      <c r="C88" s="21" t="s">
        <v>109</v>
      </c>
      <c r="D88" s="19" t="s">
        <v>282</v>
      </c>
      <c r="E88" s="17" t="s">
        <v>6</v>
      </c>
      <c r="F88" s="21" t="s">
        <v>5</v>
      </c>
      <c r="G88" s="21" t="s">
        <v>24</v>
      </c>
      <c r="H88" s="21" t="s">
        <v>23</v>
      </c>
      <c r="I88" s="21">
        <v>80</v>
      </c>
      <c r="J88" s="21" t="s">
        <v>2</v>
      </c>
      <c r="K88" s="21"/>
      <c r="L88" s="21"/>
      <c r="M88" s="25">
        <v>12099</v>
      </c>
      <c r="N88" s="21" t="s">
        <v>1</v>
      </c>
      <c r="O88" s="26">
        <f>IF(OR(ISBLANK(misuo[[#This Row],[ميعاد التسليم]]),ISBLANK(misuo[[#This Row],[ميعاد الطلب]])),0,misuo[[#This Row],[ميعاد التسليم]]-misuo[[#This Row],[ميعاد الطلب]])</f>
        <v>15</v>
      </c>
      <c r="P88" s="26">
        <f>IF(OR(ISBLANK(misuo[[#This Row],[تاريخ التسليم]]),ISBLANK(misuo[[#This Row],[ميعاد الطلب]])),0,misuo[[#This Row],[تاريخ التسليم]]-misuo[[#This Row],[ميعاد الطلب]])</f>
        <v>16</v>
      </c>
      <c r="Q88" s="27">
        <v>45607</v>
      </c>
      <c r="R88" s="27">
        <v>45622</v>
      </c>
      <c r="S88" s="27">
        <v>45623</v>
      </c>
      <c r="T88" s="21" t="s">
        <v>69</v>
      </c>
      <c r="U88" s="21" t="s">
        <v>68</v>
      </c>
    </row>
    <row r="89" spans="1:21" ht="20.100000000000001" customHeight="1" x14ac:dyDescent="0.3">
      <c r="A89" s="21" t="s">
        <v>32</v>
      </c>
      <c r="B89" s="21" t="str">
        <f>IF(OR(misuo[[#This Row],[أسم العميل]]="تاكي",misuo[[#This Row],[أسم العميل]]="شيك هومز",misuo[[#This Row],[أسم العميل]]="اوسكار راتن"),"شركات","افراد")</f>
        <v>شركات</v>
      </c>
      <c r="C89" s="21" t="s">
        <v>73</v>
      </c>
      <c r="D89" s="34" t="s">
        <v>290</v>
      </c>
      <c r="E89" s="21" t="s">
        <v>32</v>
      </c>
      <c r="F89" s="21" t="s">
        <v>209</v>
      </c>
      <c r="G89" s="21" t="s">
        <v>72</v>
      </c>
      <c r="H89" s="21" t="s">
        <v>71</v>
      </c>
      <c r="I89" s="21"/>
      <c r="J89" s="21" t="s">
        <v>10</v>
      </c>
      <c r="K89" s="21" t="s">
        <v>108</v>
      </c>
      <c r="L89" s="21"/>
      <c r="M89" s="25">
        <v>15872</v>
      </c>
      <c r="N89" s="21" t="s">
        <v>1</v>
      </c>
      <c r="O89" s="26">
        <f>IF(OR(ISBLANK(misuo[[#This Row],[ميعاد التسليم]]),ISBLANK(misuo[[#This Row],[ميعاد الطلب]])),0,misuo[[#This Row],[ميعاد التسليم]]-misuo[[#This Row],[ميعاد الطلب]])</f>
        <v>25</v>
      </c>
      <c r="P89" s="26">
        <f>IF(OR(ISBLANK(misuo[[#This Row],[تاريخ التسليم]]),ISBLANK(misuo[[#This Row],[ميعاد الطلب]])),0,misuo[[#This Row],[تاريخ التسليم]]-misuo[[#This Row],[ميعاد الطلب]])</f>
        <v>6</v>
      </c>
      <c r="Q89" s="27">
        <v>45604</v>
      </c>
      <c r="R89" s="27">
        <v>45629</v>
      </c>
      <c r="S89" s="27">
        <v>45610</v>
      </c>
      <c r="T89" s="21" t="s">
        <v>69</v>
      </c>
      <c r="U89" s="21" t="s">
        <v>68</v>
      </c>
    </row>
    <row r="90" spans="1:21" ht="20.100000000000001" customHeight="1" x14ac:dyDescent="0.3">
      <c r="A90" s="21" t="s">
        <v>107</v>
      </c>
      <c r="B90" s="21" t="str">
        <f>IF(OR(misuo[[#This Row],[أسم العميل]]="تاكي",misuo[[#This Row],[أسم العميل]]="شيك هومز",misuo[[#This Row],[أسم العميل]]="اوسكار راتن"),"شركات","افراد")</f>
        <v>افراد</v>
      </c>
      <c r="C90" s="21" t="s">
        <v>103</v>
      </c>
      <c r="D90" s="19" t="s">
        <v>282</v>
      </c>
      <c r="E90" s="21" t="s">
        <v>107</v>
      </c>
      <c r="F90" s="21" t="s">
        <v>5</v>
      </c>
      <c r="G90" s="21" t="s">
        <v>52</v>
      </c>
      <c r="H90" s="21" t="s">
        <v>51</v>
      </c>
      <c r="I90" s="21">
        <v>120</v>
      </c>
      <c r="J90" s="21" t="s">
        <v>2</v>
      </c>
      <c r="K90" s="21"/>
      <c r="L90" s="21"/>
      <c r="M90" s="25">
        <v>4520</v>
      </c>
      <c r="N90" s="21" t="s">
        <v>27</v>
      </c>
      <c r="O90" s="26">
        <f>IF(OR(ISBLANK(misuo[[#This Row],[ميعاد التسليم]]),ISBLANK(misuo[[#This Row],[ميعاد الطلب]])),0,misuo[[#This Row],[ميعاد التسليم]]-misuo[[#This Row],[ميعاد الطلب]])</f>
        <v>12</v>
      </c>
      <c r="P90" s="26">
        <f>IF(OR(ISBLANK(misuo[[#This Row],[تاريخ التسليم]]),ISBLANK(misuo[[#This Row],[ميعاد الطلب]])),0,misuo[[#This Row],[تاريخ التسليم]]-misuo[[#This Row],[ميعاد الطلب]])</f>
        <v>11</v>
      </c>
      <c r="Q90" s="27">
        <v>45606</v>
      </c>
      <c r="R90" s="27">
        <v>45618</v>
      </c>
      <c r="S90" s="27">
        <v>45617</v>
      </c>
      <c r="T90" s="21" t="s">
        <v>69</v>
      </c>
      <c r="U90" s="21" t="s">
        <v>68</v>
      </c>
    </row>
    <row r="91" spans="1:21" ht="20.100000000000001" customHeight="1" x14ac:dyDescent="0.3">
      <c r="A91" s="21" t="s">
        <v>37</v>
      </c>
      <c r="B91" s="21" t="str">
        <f>IF(OR(misuo[[#This Row],[أسم العميل]]="تاكي",misuo[[#This Row],[أسم العميل]]="شيك هومز",misuo[[#This Row],[أسم العميل]]="اوسكار راتن"),"شركات","افراد")</f>
        <v>شركات</v>
      </c>
      <c r="C91" s="21" t="s">
        <v>83</v>
      </c>
      <c r="D91" s="19" t="s">
        <v>287</v>
      </c>
      <c r="E91" s="21" t="s">
        <v>35</v>
      </c>
      <c r="F91" s="21" t="s">
        <v>5</v>
      </c>
      <c r="G91" s="21" t="s">
        <v>24</v>
      </c>
      <c r="H91" s="21" t="s">
        <v>31</v>
      </c>
      <c r="I91" s="21">
        <v>90</v>
      </c>
      <c r="J91" s="21" t="s">
        <v>15</v>
      </c>
      <c r="K91" s="21"/>
      <c r="L91" s="21"/>
      <c r="M91" s="25">
        <v>5766</v>
      </c>
      <c r="N91" s="21" t="s">
        <v>27</v>
      </c>
      <c r="O91" s="26">
        <f>IF(OR(ISBLANK(misuo[[#This Row],[ميعاد التسليم]]),ISBLANK(misuo[[#This Row],[ميعاد الطلب]])),0,misuo[[#This Row],[ميعاد التسليم]]-misuo[[#This Row],[ميعاد الطلب]])</f>
        <v>14</v>
      </c>
      <c r="P91" s="26">
        <f>IF(OR(ISBLANK(misuo[[#This Row],[تاريخ التسليم]]),ISBLANK(misuo[[#This Row],[ميعاد الطلب]])),0,misuo[[#This Row],[تاريخ التسليم]]-misuo[[#This Row],[ميعاد الطلب]])</f>
        <v>13</v>
      </c>
      <c r="Q91" s="27">
        <v>45608</v>
      </c>
      <c r="R91" s="27">
        <v>45622</v>
      </c>
      <c r="S91" s="27">
        <v>45621</v>
      </c>
      <c r="T91" s="21" t="s">
        <v>69</v>
      </c>
      <c r="U91" s="21" t="s">
        <v>68</v>
      </c>
    </row>
    <row r="92" spans="1:21" ht="20.100000000000001" customHeight="1" x14ac:dyDescent="0.3">
      <c r="A92" s="21" t="s">
        <v>106</v>
      </c>
      <c r="B92" s="21" t="str">
        <f>IF(OR(misuo[[#This Row],[أسم العميل]]="تاكي",misuo[[#This Row],[أسم العميل]]="شيك هومز",misuo[[#This Row],[أسم العميل]]="اوسكار راتن"),"شركات","افراد")</f>
        <v>افراد</v>
      </c>
      <c r="C92" s="21" t="s">
        <v>58</v>
      </c>
      <c r="D92" s="19" t="s">
        <v>282</v>
      </c>
      <c r="E92" s="17" t="s">
        <v>6</v>
      </c>
      <c r="F92" s="21" t="s">
        <v>5</v>
      </c>
      <c r="G92" s="21" t="s">
        <v>52</v>
      </c>
      <c r="H92" s="21" t="s">
        <v>51</v>
      </c>
      <c r="I92" s="21">
        <v>160</v>
      </c>
      <c r="J92" s="21" t="s">
        <v>105</v>
      </c>
      <c r="K92" s="21"/>
      <c r="L92" s="21"/>
      <c r="M92" s="25">
        <v>11395</v>
      </c>
      <c r="N92" s="21" t="s">
        <v>1</v>
      </c>
      <c r="O92" s="26">
        <f>IF(OR(ISBLANK(misuo[[#This Row],[ميعاد التسليم]]),ISBLANK(misuo[[#This Row],[ميعاد الطلب]])),0,misuo[[#This Row],[ميعاد التسليم]]-misuo[[#This Row],[ميعاد الطلب]])</f>
        <v>12</v>
      </c>
      <c r="P92" s="26">
        <f>IF(OR(ISBLANK(misuo[[#This Row],[تاريخ التسليم]]),ISBLANK(misuo[[#This Row],[ميعاد الطلب]])),0,misuo[[#This Row],[تاريخ التسليم]]-misuo[[#This Row],[ميعاد الطلب]])</f>
        <v>15</v>
      </c>
      <c r="Q92" s="27">
        <v>45608</v>
      </c>
      <c r="R92" s="27">
        <v>45620</v>
      </c>
      <c r="S92" s="27">
        <v>45623</v>
      </c>
      <c r="T92" s="21" t="s">
        <v>69</v>
      </c>
      <c r="U92" s="21" t="s">
        <v>68</v>
      </c>
    </row>
    <row r="93" spans="1:21" ht="20.100000000000001" customHeight="1" x14ac:dyDescent="0.3">
      <c r="A93" s="21" t="s">
        <v>104</v>
      </c>
      <c r="B93" s="21" t="str">
        <f>IF(OR(misuo[[#This Row],[أسم العميل]]="تاكي",misuo[[#This Row],[أسم العميل]]="شيك هومز",misuo[[#This Row],[أسم العميل]]="اوسكار راتن"),"شركات","افراد")</f>
        <v>افراد</v>
      </c>
      <c r="C93" s="21" t="s">
        <v>103</v>
      </c>
      <c r="D93" s="19" t="s">
        <v>282</v>
      </c>
      <c r="E93" s="17" t="s">
        <v>6</v>
      </c>
      <c r="F93" s="21" t="s">
        <v>5</v>
      </c>
      <c r="G93" s="21" t="s">
        <v>24</v>
      </c>
      <c r="H93" s="21" t="s">
        <v>102</v>
      </c>
      <c r="I93" s="21">
        <v>80</v>
      </c>
      <c r="J93" s="21" t="s">
        <v>2</v>
      </c>
      <c r="K93" s="21"/>
      <c r="L93" s="21"/>
      <c r="M93" s="25">
        <v>12919</v>
      </c>
      <c r="N93" s="21" t="s">
        <v>1</v>
      </c>
      <c r="O93" s="26">
        <f>IF(OR(ISBLANK(misuo[[#This Row],[ميعاد التسليم]]),ISBLANK(misuo[[#This Row],[ميعاد الطلب]])),0,misuo[[#This Row],[ميعاد التسليم]]-misuo[[#This Row],[ميعاد الطلب]])</f>
        <v>16</v>
      </c>
      <c r="P93" s="26">
        <f>IF(OR(ISBLANK(misuo[[#This Row],[تاريخ التسليم]]),ISBLANK(misuo[[#This Row],[ميعاد الطلب]])),0,misuo[[#This Row],[تاريخ التسليم]]-misuo[[#This Row],[ميعاد الطلب]])</f>
        <v>13</v>
      </c>
      <c r="Q93" s="27">
        <v>45610</v>
      </c>
      <c r="R93" s="27">
        <v>45626</v>
      </c>
      <c r="S93" s="27">
        <v>45623</v>
      </c>
      <c r="T93" s="21" t="s">
        <v>69</v>
      </c>
      <c r="U93" s="21" t="s">
        <v>68</v>
      </c>
    </row>
    <row r="94" spans="1:21" ht="20.100000000000001" customHeight="1" x14ac:dyDescent="0.3">
      <c r="A94" s="21" t="s">
        <v>37</v>
      </c>
      <c r="B94" s="21" t="str">
        <f>IF(OR(misuo[[#This Row],[أسم العميل]]="تاكي",misuo[[#This Row],[أسم العميل]]="شيك هومز",misuo[[#This Row],[أسم العميل]]="اوسكار راتن"),"شركات","افراد")</f>
        <v>شركات</v>
      </c>
      <c r="C94" s="21" t="s">
        <v>83</v>
      </c>
      <c r="D94" s="19" t="s">
        <v>287</v>
      </c>
      <c r="E94" s="21" t="s">
        <v>35</v>
      </c>
      <c r="F94" s="21" t="s">
        <v>74</v>
      </c>
      <c r="G94" s="21" t="s">
        <v>24</v>
      </c>
      <c r="H94" s="21" t="s">
        <v>3</v>
      </c>
      <c r="I94" s="21">
        <v>120</v>
      </c>
      <c r="J94" s="21" t="s">
        <v>45</v>
      </c>
      <c r="K94" s="21"/>
      <c r="L94" s="21"/>
      <c r="M94" s="25">
        <v>6376</v>
      </c>
      <c r="N94" s="21" t="s">
        <v>27</v>
      </c>
      <c r="O94" s="26">
        <f>IF(OR(ISBLANK(misuo[[#This Row],[ميعاد التسليم]]),ISBLANK(misuo[[#This Row],[ميعاد الطلب]])),0,misuo[[#This Row],[ميعاد التسليم]]-misuo[[#This Row],[ميعاد الطلب]])</f>
        <v>13</v>
      </c>
      <c r="P94" s="26">
        <f>IF(OR(ISBLANK(misuo[[#This Row],[تاريخ التسليم]]),ISBLANK(misuo[[#This Row],[ميعاد الطلب]])),0,misuo[[#This Row],[تاريخ التسليم]]-misuo[[#This Row],[ميعاد الطلب]])</f>
        <v>11</v>
      </c>
      <c r="Q94" s="27">
        <v>45610</v>
      </c>
      <c r="R94" s="27">
        <v>45623</v>
      </c>
      <c r="S94" s="27">
        <v>45621</v>
      </c>
      <c r="T94" s="21" t="s">
        <v>69</v>
      </c>
      <c r="U94" s="21" t="s">
        <v>68</v>
      </c>
    </row>
    <row r="95" spans="1:21" ht="20.100000000000001" customHeight="1" x14ac:dyDescent="0.3">
      <c r="A95" s="21" t="s">
        <v>37</v>
      </c>
      <c r="B95" s="21" t="str">
        <f>IF(OR(misuo[[#This Row],[أسم العميل]]="تاكي",misuo[[#This Row],[أسم العميل]]="شيك هومز",misuo[[#This Row],[أسم العميل]]="اوسكار راتن"),"شركات","افراد")</f>
        <v>شركات</v>
      </c>
      <c r="C95" s="21" t="s">
        <v>101</v>
      </c>
      <c r="D95" s="34" t="s">
        <v>290</v>
      </c>
      <c r="E95" s="21" t="s">
        <v>35</v>
      </c>
      <c r="F95" s="21" t="s">
        <v>5</v>
      </c>
      <c r="G95" s="21" t="s">
        <v>4</v>
      </c>
      <c r="H95" s="21" t="s">
        <v>3</v>
      </c>
      <c r="I95" s="21">
        <v>90</v>
      </c>
      <c r="J95" s="21" t="s">
        <v>15</v>
      </c>
      <c r="K95" s="21"/>
      <c r="L95" s="21"/>
      <c r="M95" s="25">
        <v>5294</v>
      </c>
      <c r="N95" s="21" t="s">
        <v>27</v>
      </c>
      <c r="O95" s="26">
        <f>IF(OR(ISBLANK(misuo[[#This Row],[ميعاد التسليم]]),ISBLANK(misuo[[#This Row],[ميعاد الطلب]])),0,misuo[[#This Row],[ميعاد التسليم]]-misuo[[#This Row],[ميعاد الطلب]])</f>
        <v>13</v>
      </c>
      <c r="P95" s="26">
        <f>IF(OR(ISBLANK(misuo[[#This Row],[تاريخ التسليم]]),ISBLANK(misuo[[#This Row],[ميعاد الطلب]])),0,misuo[[#This Row],[تاريخ التسليم]]-misuo[[#This Row],[ميعاد الطلب]])</f>
        <v>11</v>
      </c>
      <c r="Q95" s="27">
        <v>45610</v>
      </c>
      <c r="R95" s="27">
        <v>45623</v>
      </c>
      <c r="S95" s="27">
        <v>45621</v>
      </c>
      <c r="T95" s="21" t="s">
        <v>69</v>
      </c>
      <c r="U95" s="21" t="s">
        <v>68</v>
      </c>
    </row>
    <row r="96" spans="1:21" ht="20.100000000000001" customHeight="1" x14ac:dyDescent="0.3">
      <c r="A96" s="21" t="s">
        <v>272</v>
      </c>
      <c r="B96" s="21" t="str">
        <f>IF(OR(misuo[[#This Row],[أسم العميل]]="تاكي",misuo[[#This Row],[أسم العميل]]="شيك هومز",misuo[[#This Row],[أسم العميل]]="اوسكار راتن"),"شركات","افراد")</f>
        <v>افراد</v>
      </c>
      <c r="C96" s="21" t="s">
        <v>64</v>
      </c>
      <c r="D96" s="19" t="s">
        <v>283</v>
      </c>
      <c r="E96" s="21" t="s">
        <v>100</v>
      </c>
      <c r="F96" s="21" t="s">
        <v>74</v>
      </c>
      <c r="G96" s="21" t="s">
        <v>4</v>
      </c>
      <c r="H96" s="21" t="s">
        <v>82</v>
      </c>
      <c r="I96" s="21">
        <v>80</v>
      </c>
      <c r="J96" s="21" t="s">
        <v>2</v>
      </c>
      <c r="K96" s="21"/>
      <c r="L96" s="21"/>
      <c r="M96" s="25">
        <v>7396</v>
      </c>
      <c r="N96" s="21" t="s">
        <v>1</v>
      </c>
      <c r="O96" s="26">
        <f>IF(OR(ISBLANK(misuo[[#This Row],[ميعاد التسليم]]),ISBLANK(misuo[[#This Row],[ميعاد الطلب]])),0,misuo[[#This Row],[ميعاد التسليم]]-misuo[[#This Row],[ميعاد الطلب]])</f>
        <v>11</v>
      </c>
      <c r="P96" s="26">
        <f>IF(OR(ISBLANK(misuo[[#This Row],[تاريخ التسليم]]),ISBLANK(misuo[[#This Row],[ميعاد الطلب]])),0,misuo[[#This Row],[تاريخ التسليم]]-misuo[[#This Row],[ميعاد الطلب]])</f>
        <v>9</v>
      </c>
      <c r="Q96" s="27">
        <v>45613</v>
      </c>
      <c r="R96" s="27">
        <v>45624</v>
      </c>
      <c r="S96" s="27">
        <v>45622</v>
      </c>
      <c r="T96" s="21" t="s">
        <v>69</v>
      </c>
      <c r="U96" s="21" t="s">
        <v>68</v>
      </c>
    </row>
    <row r="97" spans="1:21" ht="20.100000000000001" customHeight="1" x14ac:dyDescent="0.3">
      <c r="A97" s="21" t="s">
        <v>99</v>
      </c>
      <c r="B97" s="21" t="str">
        <f>IF(OR(misuo[[#This Row],[أسم العميل]]="تاكي",misuo[[#This Row],[أسم العميل]]="شيك هومز",misuo[[#This Row],[أسم العميل]]="اوسكار راتن"),"شركات","افراد")</f>
        <v>افراد</v>
      </c>
      <c r="C97" s="21" t="s">
        <v>75</v>
      </c>
      <c r="D97" s="19" t="s">
        <v>283</v>
      </c>
      <c r="E97" s="17" t="s">
        <v>6</v>
      </c>
      <c r="F97" s="21" t="s">
        <v>5</v>
      </c>
      <c r="G97" s="21" t="s">
        <v>24</v>
      </c>
      <c r="H97" s="21" t="s">
        <v>31</v>
      </c>
      <c r="I97" s="21">
        <v>90</v>
      </c>
      <c r="J97" s="21" t="s">
        <v>15</v>
      </c>
      <c r="K97" s="21"/>
      <c r="L97" s="21"/>
      <c r="M97" s="25">
        <v>13439</v>
      </c>
      <c r="N97" s="21" t="s">
        <v>295</v>
      </c>
      <c r="O97" s="26">
        <f>IF(OR(ISBLANK(misuo[[#This Row],[ميعاد التسليم]]),ISBLANK(misuo[[#This Row],[ميعاد الطلب]])),0,misuo[[#This Row],[ميعاد التسليم]]-misuo[[#This Row],[ميعاد الطلب]])</f>
        <v>15</v>
      </c>
      <c r="P97" s="26">
        <f>IF(OR(ISBLANK(misuo[[#This Row],[تاريخ التسليم]]),ISBLANK(misuo[[#This Row],[ميعاد الطلب]])),0,misuo[[#This Row],[تاريخ التسليم]]-misuo[[#This Row],[ميعاد الطلب]])</f>
        <v>6</v>
      </c>
      <c r="Q97" s="27">
        <v>45616</v>
      </c>
      <c r="R97" s="27">
        <v>45631</v>
      </c>
      <c r="S97" s="27">
        <v>45622</v>
      </c>
      <c r="T97" s="21" t="s">
        <v>69</v>
      </c>
      <c r="U97" s="21" t="s">
        <v>68</v>
      </c>
    </row>
    <row r="98" spans="1:21" ht="20.100000000000001" customHeight="1" x14ac:dyDescent="0.3">
      <c r="A98" s="21" t="s">
        <v>98</v>
      </c>
      <c r="B98" s="21" t="str">
        <f>IF(OR(misuo[[#This Row],[أسم العميل]]="تاكي",misuo[[#This Row],[أسم العميل]]="شيك هومز",misuo[[#This Row],[أسم العميل]]="اوسكار راتن"),"شركات","افراد")</f>
        <v>افراد</v>
      </c>
      <c r="C98" s="21" t="s">
        <v>97</v>
      </c>
      <c r="D98" s="19" t="s">
        <v>282</v>
      </c>
      <c r="E98" s="21" t="s">
        <v>96</v>
      </c>
      <c r="F98" s="21" t="s">
        <v>74</v>
      </c>
      <c r="G98" s="21" t="s">
        <v>52</v>
      </c>
      <c r="H98" s="21" t="s">
        <v>95</v>
      </c>
      <c r="I98" s="21">
        <v>160</v>
      </c>
      <c r="J98" s="21" t="s">
        <v>94</v>
      </c>
      <c r="K98" s="21" t="s">
        <v>2</v>
      </c>
      <c r="L98" s="21"/>
      <c r="M98" s="25">
        <v>6000</v>
      </c>
      <c r="N98" s="21" t="s">
        <v>295</v>
      </c>
      <c r="O98" s="26">
        <f>IF(OR(ISBLANK(misuo[[#This Row],[ميعاد التسليم]]),ISBLANK(misuo[[#This Row],[ميعاد الطلب]])),0,misuo[[#This Row],[ميعاد التسليم]]-misuo[[#This Row],[ميعاد الطلب]])</f>
        <v>10</v>
      </c>
      <c r="P98" s="26">
        <f>IF(OR(ISBLANK(misuo[[#This Row],[تاريخ التسليم]]),ISBLANK(misuo[[#This Row],[ميعاد الطلب]])),0,misuo[[#This Row],[تاريخ التسليم]]-misuo[[#This Row],[ميعاد الطلب]])</f>
        <v>5</v>
      </c>
      <c r="Q98" s="27">
        <v>45618</v>
      </c>
      <c r="R98" s="27">
        <v>45628</v>
      </c>
      <c r="S98" s="27">
        <v>45623</v>
      </c>
      <c r="T98" s="21" t="s">
        <v>69</v>
      </c>
      <c r="U98" s="21" t="s">
        <v>68</v>
      </c>
    </row>
    <row r="99" spans="1:21" ht="20.100000000000001" customHeight="1" x14ac:dyDescent="0.3">
      <c r="A99" s="21" t="s">
        <v>273</v>
      </c>
      <c r="B99" s="21" t="str">
        <f>IF(OR(misuo[[#This Row],[أسم العميل]]="تاكي",misuo[[#This Row],[أسم العميل]]="شيك هومز",misuo[[#This Row],[أسم العميل]]="اوسكار راتن"),"شركات","افراد")</f>
        <v>افراد</v>
      </c>
      <c r="C99" s="21" t="s">
        <v>93</v>
      </c>
      <c r="D99" s="19" t="s">
        <v>282</v>
      </c>
      <c r="E99" s="17" t="s">
        <v>6</v>
      </c>
      <c r="F99" s="21" t="s">
        <v>5</v>
      </c>
      <c r="G99" s="21" t="s">
        <v>29</v>
      </c>
      <c r="H99" s="21" t="s">
        <v>92</v>
      </c>
      <c r="I99" s="21">
        <v>120</v>
      </c>
      <c r="J99" s="21" t="s">
        <v>45</v>
      </c>
      <c r="K99" s="21"/>
      <c r="L99" s="21"/>
      <c r="M99" s="25">
        <v>10885</v>
      </c>
      <c r="N99" s="21" t="s">
        <v>295</v>
      </c>
      <c r="O99" s="26">
        <f>IF(OR(ISBLANK(misuo[[#This Row],[ميعاد التسليم]]),ISBLANK(misuo[[#This Row],[ميعاد الطلب]])),0,misuo[[#This Row],[ميعاد التسليم]]-misuo[[#This Row],[ميعاد الطلب]])</f>
        <v>11</v>
      </c>
      <c r="P99" s="26">
        <f>IF(OR(ISBLANK(misuo[[#This Row],[تاريخ التسليم]]),ISBLANK(misuo[[#This Row],[ميعاد الطلب]])),0,misuo[[#This Row],[تاريخ التسليم]]-misuo[[#This Row],[ميعاد الطلب]])</f>
        <v>16</v>
      </c>
      <c r="Q99" s="27">
        <v>45620</v>
      </c>
      <c r="R99" s="27">
        <v>45631</v>
      </c>
      <c r="S99" s="27">
        <v>45636</v>
      </c>
      <c r="T99" s="21" t="s">
        <v>69</v>
      </c>
      <c r="U99" s="21" t="s">
        <v>68</v>
      </c>
    </row>
    <row r="100" spans="1:21" ht="20.100000000000001" customHeight="1" x14ac:dyDescent="0.3">
      <c r="A100" s="21" t="s">
        <v>249</v>
      </c>
      <c r="B100" s="21" t="str">
        <f>IF(OR(misuo[[#This Row],[أسم العميل]]="تاكي",misuo[[#This Row],[أسم العميل]]="شيك هومز",misuo[[#This Row],[أسم العميل]]="اوسكار راتن"),"شركات","افراد")</f>
        <v>شركات</v>
      </c>
      <c r="C100" s="21" t="s">
        <v>30</v>
      </c>
      <c r="D100" s="19" t="s">
        <v>282</v>
      </c>
      <c r="E100" s="21" t="s">
        <v>91</v>
      </c>
      <c r="F100" s="21" t="s">
        <v>209</v>
      </c>
      <c r="G100" s="21" t="s">
        <v>90</v>
      </c>
      <c r="H100" s="21" t="s">
        <v>90</v>
      </c>
      <c r="I100" s="21"/>
      <c r="J100" s="21"/>
      <c r="K100" s="21"/>
      <c r="L100" s="21"/>
      <c r="M100" s="25">
        <v>6000</v>
      </c>
      <c r="N100" s="21" t="s">
        <v>295</v>
      </c>
      <c r="O100" s="26">
        <f>IF(OR(ISBLANK(misuo[[#This Row],[ميعاد التسليم]]),ISBLANK(misuo[[#This Row],[ميعاد الطلب]])),0,misuo[[#This Row],[ميعاد التسليم]]-misuo[[#This Row],[ميعاد الطلب]])</f>
        <v>16</v>
      </c>
      <c r="P100" s="26">
        <f>IF(OR(ISBLANK(misuo[[#This Row],[تاريخ التسليم]]),ISBLANK(misuo[[#This Row],[ميعاد الطلب]])),0,misuo[[#This Row],[تاريخ التسليم]]-misuo[[#This Row],[ميعاد الطلب]])</f>
        <v>1</v>
      </c>
      <c r="Q100" s="27">
        <v>45615</v>
      </c>
      <c r="R100" s="27">
        <v>45631</v>
      </c>
      <c r="S100" s="27">
        <v>45616</v>
      </c>
      <c r="T100" s="21" t="s">
        <v>89</v>
      </c>
      <c r="U100" s="21" t="s">
        <v>68</v>
      </c>
    </row>
    <row r="101" spans="1:21" ht="20.100000000000001" customHeight="1" x14ac:dyDescent="0.3">
      <c r="A101" s="21" t="s">
        <v>88</v>
      </c>
      <c r="B101" s="21" t="str">
        <f>IF(OR(misuo[[#This Row],[أسم العميل]]="تاكي",misuo[[#This Row],[أسم العميل]]="شيك هومز",misuo[[#This Row],[أسم العميل]]="اوسكار راتن"),"شركات","افراد")</f>
        <v>افراد</v>
      </c>
      <c r="C101" s="21" t="s">
        <v>87</v>
      </c>
      <c r="D101" s="19" t="s">
        <v>284</v>
      </c>
      <c r="E101" s="17" t="s">
        <v>6</v>
      </c>
      <c r="F101" s="28" t="s">
        <v>41</v>
      </c>
      <c r="G101" s="21"/>
      <c r="H101" s="21" t="s">
        <v>86</v>
      </c>
      <c r="I101" s="21"/>
      <c r="J101" s="21"/>
      <c r="K101" s="21"/>
      <c r="L101" s="21"/>
      <c r="M101" s="25">
        <v>8449</v>
      </c>
      <c r="N101" s="21" t="s">
        <v>1</v>
      </c>
      <c r="O101" s="26">
        <f>IF(OR(ISBLANK(misuo[[#This Row],[ميعاد التسليم]]),ISBLANK(misuo[[#This Row],[ميعاد الطلب]])),0,misuo[[#This Row],[ميعاد التسليم]]-misuo[[#This Row],[ميعاد الطلب]])</f>
        <v>13</v>
      </c>
      <c r="P101" s="26">
        <f>IF(OR(ISBLANK(misuo[[#This Row],[تاريخ التسليم]]),ISBLANK(misuo[[#This Row],[ميعاد الطلب]])),0,misuo[[#This Row],[تاريخ التسليم]]-misuo[[#This Row],[ميعاد الطلب]])</f>
        <v>26</v>
      </c>
      <c r="Q101" s="27">
        <v>45623</v>
      </c>
      <c r="R101" s="27">
        <v>45636</v>
      </c>
      <c r="S101" s="27">
        <v>45649</v>
      </c>
      <c r="T101" s="21" t="s">
        <v>294</v>
      </c>
      <c r="U101" s="21" t="s">
        <v>68</v>
      </c>
    </row>
    <row r="102" spans="1:21" ht="20.100000000000001" customHeight="1" x14ac:dyDescent="0.3">
      <c r="A102" s="21" t="s">
        <v>85</v>
      </c>
      <c r="B102" s="21" t="str">
        <f>IF(OR(misuo[[#This Row],[أسم العميل]]="تاكي",misuo[[#This Row],[أسم العميل]]="شيك هومز",misuo[[#This Row],[أسم العميل]]="اوسكار راتن"),"شركات","افراد")</f>
        <v>افراد</v>
      </c>
      <c r="C102" s="21" t="s">
        <v>61</v>
      </c>
      <c r="D102" s="19" t="s">
        <v>282</v>
      </c>
      <c r="E102" s="17" t="s">
        <v>6</v>
      </c>
      <c r="F102" s="28" t="s">
        <v>41</v>
      </c>
      <c r="G102" s="21" t="s">
        <v>21</v>
      </c>
      <c r="H102" s="21" t="s">
        <v>20</v>
      </c>
      <c r="I102" s="21"/>
      <c r="J102" s="21" t="s">
        <v>2</v>
      </c>
      <c r="K102" s="21" t="s">
        <v>84</v>
      </c>
      <c r="L102" s="21"/>
      <c r="M102" s="25">
        <v>10249</v>
      </c>
      <c r="N102" s="21" t="s">
        <v>295</v>
      </c>
      <c r="O102" s="26">
        <f>IF(OR(ISBLANK(misuo[[#This Row],[ميعاد التسليم]]),ISBLANK(misuo[[#This Row],[ميعاد الطلب]])),0,misuo[[#This Row],[ميعاد التسليم]]-misuo[[#This Row],[ميعاد الطلب]])</f>
        <v>13</v>
      </c>
      <c r="P102" s="26">
        <f>IF(OR(ISBLANK(misuo[[#This Row],[تاريخ التسليم]]),ISBLANK(misuo[[#This Row],[ميعاد الطلب]])),0,misuo[[#This Row],[تاريخ التسليم]]-misuo[[#This Row],[ميعاد الطلب]])</f>
        <v>22</v>
      </c>
      <c r="Q102" s="27">
        <v>45623</v>
      </c>
      <c r="R102" s="27">
        <v>45636</v>
      </c>
      <c r="S102" s="27">
        <v>45645</v>
      </c>
      <c r="T102" s="21" t="s">
        <v>69</v>
      </c>
      <c r="U102" s="21" t="s">
        <v>68</v>
      </c>
    </row>
    <row r="103" spans="1:21" ht="20.100000000000001" customHeight="1" x14ac:dyDescent="0.3">
      <c r="A103" s="21" t="s">
        <v>37</v>
      </c>
      <c r="B103" s="21" t="str">
        <f>IF(OR(misuo[[#This Row],[أسم العميل]]="تاكي",misuo[[#This Row],[أسم العميل]]="شيك هومز",misuo[[#This Row],[أسم العميل]]="اوسكار راتن"),"شركات","افراد")</f>
        <v>شركات</v>
      </c>
      <c r="C103" s="21" t="s">
        <v>83</v>
      </c>
      <c r="D103" s="19" t="s">
        <v>287</v>
      </c>
      <c r="E103" s="21" t="s">
        <v>35</v>
      </c>
      <c r="F103" s="21" t="s">
        <v>5</v>
      </c>
      <c r="G103" s="21" t="s">
        <v>4</v>
      </c>
      <c r="H103" s="21" t="s">
        <v>82</v>
      </c>
      <c r="I103" s="38">
        <v>90</v>
      </c>
      <c r="J103" s="21" t="s">
        <v>81</v>
      </c>
      <c r="K103" s="21"/>
      <c r="L103" s="21"/>
      <c r="M103" s="25">
        <v>5217</v>
      </c>
      <c r="N103" s="21" t="s">
        <v>27</v>
      </c>
      <c r="O103" s="26">
        <f>IF(OR(ISBLANK(misuo[[#This Row],[ميعاد التسليم]]),ISBLANK(misuo[[#This Row],[ميعاد الطلب]])),0,misuo[[#This Row],[ميعاد التسليم]]-misuo[[#This Row],[ميعاد الطلب]])</f>
        <v>13</v>
      </c>
      <c r="P103" s="26">
        <f>IF(OR(ISBLANK(misuo[[#This Row],[تاريخ التسليم]]),ISBLANK(misuo[[#This Row],[ميعاد الطلب]])),0,misuo[[#This Row],[تاريخ التسليم]]-misuo[[#This Row],[ميعاد الطلب]])</f>
        <v>9</v>
      </c>
      <c r="Q103" s="27">
        <v>45627</v>
      </c>
      <c r="R103" s="27">
        <v>45640</v>
      </c>
      <c r="S103" s="27">
        <v>45636</v>
      </c>
      <c r="T103" s="21" t="s">
        <v>69</v>
      </c>
      <c r="U103" s="21" t="s">
        <v>68</v>
      </c>
    </row>
    <row r="104" spans="1:21" ht="20.100000000000001" customHeight="1" x14ac:dyDescent="0.3">
      <c r="A104" s="21" t="s">
        <v>274</v>
      </c>
      <c r="B104" s="21" t="str">
        <f>IF(OR(misuo[[#This Row],[أسم العميل]]="تاكي",misuo[[#This Row],[أسم العميل]]="شيك هومز",misuo[[#This Row],[أسم العميل]]="اوسكار راتن"),"شركات","افراد")</f>
        <v>افراد</v>
      </c>
      <c r="C104" s="21" t="s">
        <v>80</v>
      </c>
      <c r="D104" s="19" t="s">
        <v>287</v>
      </c>
      <c r="E104" s="17" t="s">
        <v>6</v>
      </c>
      <c r="F104" s="21" t="s">
        <v>74</v>
      </c>
      <c r="G104" s="21" t="s">
        <v>38</v>
      </c>
      <c r="H104" s="21"/>
      <c r="I104" s="21"/>
      <c r="J104" s="21" t="s">
        <v>15</v>
      </c>
      <c r="K104" s="21" t="s">
        <v>15</v>
      </c>
      <c r="L104" s="21"/>
      <c r="M104" s="25">
        <v>10249</v>
      </c>
      <c r="N104" s="21" t="s">
        <v>295</v>
      </c>
      <c r="O104" s="26">
        <f>IF(OR(ISBLANK(misuo[[#This Row],[ميعاد التسليم]]),ISBLANK(misuo[[#This Row],[ميعاد الطلب]])),0,misuo[[#This Row],[ميعاد التسليم]]-misuo[[#This Row],[ميعاد الطلب]])</f>
        <v>10</v>
      </c>
      <c r="P104" s="26">
        <f>IF(OR(ISBLANK(misuo[[#This Row],[تاريخ التسليم]]),ISBLANK(misuo[[#This Row],[ميعاد الطلب]])),0,misuo[[#This Row],[تاريخ التسليم]]-misuo[[#This Row],[ميعاد الطلب]])</f>
        <v>15</v>
      </c>
      <c r="Q104" s="27">
        <v>45630</v>
      </c>
      <c r="R104" s="27">
        <v>45640</v>
      </c>
      <c r="S104" s="27">
        <v>45645</v>
      </c>
      <c r="T104" s="21" t="s">
        <v>69</v>
      </c>
      <c r="U104" s="21" t="s">
        <v>68</v>
      </c>
    </row>
    <row r="105" spans="1:21" ht="20.100000000000001" customHeight="1" x14ac:dyDescent="0.3">
      <c r="A105" s="21" t="s">
        <v>79</v>
      </c>
      <c r="B105" s="21" t="str">
        <f>IF(OR(misuo[[#This Row],[أسم العميل]]="تاكي",misuo[[#This Row],[أسم العميل]]="شيك هومز",misuo[[#This Row],[أسم العميل]]="اوسكار راتن"),"شركات","افراد")</f>
        <v>افراد</v>
      </c>
      <c r="C105" s="21" t="s">
        <v>78</v>
      </c>
      <c r="D105" s="19" t="s">
        <v>282</v>
      </c>
      <c r="E105" s="21" t="s">
        <v>32</v>
      </c>
      <c r="F105" s="21" t="s">
        <v>5</v>
      </c>
      <c r="G105" s="21" t="s">
        <v>24</v>
      </c>
      <c r="H105" s="21" t="s">
        <v>31</v>
      </c>
      <c r="I105" s="21"/>
      <c r="J105" s="21" t="s">
        <v>15</v>
      </c>
      <c r="K105" s="21"/>
      <c r="L105" s="21"/>
      <c r="M105" s="25">
        <v>10445</v>
      </c>
      <c r="N105" s="21" t="s">
        <v>295</v>
      </c>
      <c r="O105" s="26">
        <f>IF(OR(ISBLANK(misuo[[#This Row],[ميعاد التسليم]]),ISBLANK(misuo[[#This Row],[ميعاد الطلب]])),0,misuo[[#This Row],[ميعاد التسليم]]-misuo[[#This Row],[ميعاد الطلب]])</f>
        <v>22</v>
      </c>
      <c r="P105" s="26">
        <f>IF(OR(ISBLANK(misuo[[#This Row],[تاريخ التسليم]]),ISBLANK(misuo[[#This Row],[ميعاد الطلب]])),0,misuo[[#This Row],[تاريخ التسليم]]-misuo[[#This Row],[ميعاد الطلب]])</f>
        <v>3</v>
      </c>
      <c r="Q105" s="27">
        <v>45635</v>
      </c>
      <c r="R105" s="27">
        <v>45657</v>
      </c>
      <c r="S105" s="27">
        <v>45638</v>
      </c>
      <c r="T105" s="21" t="s">
        <v>69</v>
      </c>
      <c r="U105" s="21" t="s">
        <v>68</v>
      </c>
    </row>
    <row r="106" spans="1:21" ht="20.100000000000001" customHeight="1" x14ac:dyDescent="0.3">
      <c r="A106" s="21" t="s">
        <v>275</v>
      </c>
      <c r="B106" s="21" t="str">
        <f>IF(OR(misuo[[#This Row],[أسم العميل]]="تاكي",misuo[[#This Row],[أسم العميل]]="شيك هومز",misuo[[#This Row],[أسم العميل]]="اوسكار راتن"),"شركات","افراد")</f>
        <v>افراد</v>
      </c>
      <c r="C106" s="21" t="s">
        <v>17</v>
      </c>
      <c r="D106" s="19" t="s">
        <v>282</v>
      </c>
      <c r="E106" s="17" t="s">
        <v>6</v>
      </c>
      <c r="F106" s="28" t="s">
        <v>41</v>
      </c>
      <c r="G106" s="21" t="s">
        <v>77</v>
      </c>
      <c r="H106" s="21" t="s">
        <v>20</v>
      </c>
      <c r="I106" s="21"/>
      <c r="J106" s="21" t="s">
        <v>10</v>
      </c>
      <c r="K106" s="21" t="s">
        <v>19</v>
      </c>
      <c r="L106" s="21"/>
      <c r="M106" s="25">
        <v>11199</v>
      </c>
      <c r="N106" s="21" t="s">
        <v>295</v>
      </c>
      <c r="O106" s="26">
        <f>IF(OR(ISBLANK(misuo[[#This Row],[ميعاد التسليم]]),ISBLANK(misuo[[#This Row],[ميعاد الطلب]])),0,misuo[[#This Row],[ميعاد التسليم]]-misuo[[#This Row],[ميعاد الطلب]])</f>
        <v>12</v>
      </c>
      <c r="P106" s="26">
        <f>IF(OR(ISBLANK(misuo[[#This Row],[تاريخ التسليم]]),ISBLANK(misuo[[#This Row],[ميعاد الطلب]])),0,misuo[[#This Row],[تاريخ التسليم]]-misuo[[#This Row],[ميعاد الطلب]])</f>
        <v>7</v>
      </c>
      <c r="Q106" s="27">
        <v>45638</v>
      </c>
      <c r="R106" s="27">
        <v>45650</v>
      </c>
      <c r="S106" s="27">
        <v>45645</v>
      </c>
      <c r="T106" s="21" t="s">
        <v>69</v>
      </c>
      <c r="U106" s="21" t="s">
        <v>68</v>
      </c>
    </row>
    <row r="107" spans="1:21" ht="20.100000000000001" customHeight="1" x14ac:dyDescent="0.3">
      <c r="A107" s="21" t="s">
        <v>76</v>
      </c>
      <c r="B107" s="21" t="str">
        <f>IF(OR(misuo[[#This Row],[أسم العميل]]="تاكي",misuo[[#This Row],[أسم العميل]]="شيك هومز",misuo[[#This Row],[أسم العميل]]="اوسكار راتن"),"شركات","افراد")</f>
        <v>افراد</v>
      </c>
      <c r="C107" s="21" t="s">
        <v>75</v>
      </c>
      <c r="D107" s="19" t="s">
        <v>283</v>
      </c>
      <c r="E107" s="17" t="s">
        <v>6</v>
      </c>
      <c r="F107" s="21" t="s">
        <v>74</v>
      </c>
      <c r="G107" s="21" t="s">
        <v>24</v>
      </c>
      <c r="H107" s="21" t="s">
        <v>3</v>
      </c>
      <c r="I107" s="21">
        <v>80</v>
      </c>
      <c r="J107" s="21" t="s">
        <v>15</v>
      </c>
      <c r="K107" s="21"/>
      <c r="L107" s="21"/>
      <c r="M107" s="25">
        <v>13099</v>
      </c>
      <c r="N107" s="21" t="s">
        <v>295</v>
      </c>
      <c r="O107" s="26">
        <f>IF(OR(ISBLANK(misuo[[#This Row],[ميعاد التسليم]]),ISBLANK(misuo[[#This Row],[ميعاد الطلب]])),0,misuo[[#This Row],[ميعاد التسليم]]-misuo[[#This Row],[ميعاد الطلب]])</f>
        <v>16</v>
      </c>
      <c r="P107" s="26">
        <f>IF(OR(ISBLANK(misuo[[#This Row],[تاريخ التسليم]]),ISBLANK(misuo[[#This Row],[ميعاد الطلب]])),0,misuo[[#This Row],[تاريخ التسليم]]-misuo[[#This Row],[ميعاد الطلب]])</f>
        <v>17</v>
      </c>
      <c r="Q107" s="27">
        <v>45638</v>
      </c>
      <c r="R107" s="27">
        <v>45654</v>
      </c>
      <c r="S107" s="27">
        <v>45655</v>
      </c>
      <c r="T107" s="21" t="s">
        <v>69</v>
      </c>
      <c r="U107" s="21" t="s">
        <v>68</v>
      </c>
    </row>
    <row r="108" spans="1:21" ht="20.100000000000001" customHeight="1" x14ac:dyDescent="0.3">
      <c r="A108" s="21" t="s">
        <v>32</v>
      </c>
      <c r="B108" s="21" t="str">
        <f>IF(OR(misuo[[#This Row],[أسم العميل]]="تاكي",misuo[[#This Row],[أسم العميل]]="شيك هومز",misuo[[#This Row],[أسم العميل]]="اوسكار راتن"),"شركات","افراد")</f>
        <v>شركات</v>
      </c>
      <c r="C108" s="21" t="s">
        <v>73</v>
      </c>
      <c r="D108" s="34" t="s">
        <v>290</v>
      </c>
      <c r="E108" s="21" t="s">
        <v>32</v>
      </c>
      <c r="F108" s="21" t="s">
        <v>209</v>
      </c>
      <c r="G108" s="21" t="s">
        <v>72</v>
      </c>
      <c r="H108" s="21" t="s">
        <v>71</v>
      </c>
      <c r="I108" s="21"/>
      <c r="J108" s="21" t="s">
        <v>10</v>
      </c>
      <c r="K108" s="21" t="s">
        <v>70</v>
      </c>
      <c r="L108" s="21"/>
      <c r="M108" s="25">
        <v>8700</v>
      </c>
      <c r="N108" s="21" t="s">
        <v>27</v>
      </c>
      <c r="O108" s="26">
        <f>IF(OR(ISBLANK(misuo[[#This Row],[ميعاد التسليم]]),ISBLANK(misuo[[#This Row],[ميعاد الطلب]])),0,misuo[[#This Row],[ميعاد التسليم]]-misuo[[#This Row],[ميعاد الطلب]])</f>
        <v>22</v>
      </c>
      <c r="P108" s="26">
        <f>IF(OR(ISBLANK(misuo[[#This Row],[تاريخ التسليم]]),ISBLANK(misuo[[#This Row],[ميعاد الطلب]])),0,misuo[[#This Row],[تاريخ التسليم]]-misuo[[#This Row],[ميعاد الطلب]])</f>
        <v>15</v>
      </c>
      <c r="Q108" s="27">
        <v>45640</v>
      </c>
      <c r="R108" s="27">
        <v>45662</v>
      </c>
      <c r="S108" s="27">
        <v>45655</v>
      </c>
      <c r="T108" s="21" t="s">
        <v>69</v>
      </c>
      <c r="U108" s="21" t="s">
        <v>68</v>
      </c>
    </row>
    <row r="109" spans="1:21" ht="20.100000000000001" customHeight="1" x14ac:dyDescent="0.3">
      <c r="A109" s="21" t="s">
        <v>249</v>
      </c>
      <c r="B109" s="21" t="str">
        <f>IF(OR(misuo[[#This Row],[أسم العميل]]="تاكي",misuo[[#This Row],[أسم العميل]]="شيك هومز",misuo[[#This Row],[أسم العميل]]="اوسكار راتن"),"شركات","افراد")</f>
        <v>شركات</v>
      </c>
      <c r="C109" s="21" t="s">
        <v>67</v>
      </c>
      <c r="D109" s="19" t="s">
        <v>282</v>
      </c>
      <c r="E109" s="21" t="s">
        <v>91</v>
      </c>
      <c r="F109" s="21" t="s">
        <v>209</v>
      </c>
      <c r="G109" s="21" t="s">
        <v>66</v>
      </c>
      <c r="H109" s="21"/>
      <c r="I109" s="21"/>
      <c r="J109" s="21"/>
      <c r="K109" s="21"/>
      <c r="L109" s="21" t="s">
        <v>65</v>
      </c>
      <c r="M109" s="25">
        <v>16000</v>
      </c>
      <c r="N109" s="21" t="s">
        <v>295</v>
      </c>
      <c r="O109" s="26">
        <f>IF(OR(ISBLANK(misuo[[#This Row],[ميعاد التسليم]]),ISBLANK(misuo[[#This Row],[ميعاد الطلب]])),0,misuo[[#This Row],[ميعاد التسليم]]-misuo[[#This Row],[ميعاد الطلب]])</f>
        <v>0</v>
      </c>
      <c r="P109" s="26">
        <f>IF(OR(ISBLANK(misuo[[#This Row],[تاريخ التسليم]]),ISBLANK(misuo[[#This Row],[ميعاد الطلب]])),0,misuo[[#This Row],[تاريخ التسليم]]-misuo[[#This Row],[ميعاد الطلب]])</f>
        <v>0</v>
      </c>
      <c r="Q109" s="27"/>
      <c r="R109" s="27"/>
      <c r="S109" s="27"/>
      <c r="T109" s="17" t="s">
        <v>219</v>
      </c>
      <c r="U109" s="18" t="s">
        <v>0</v>
      </c>
    </row>
    <row r="110" spans="1:21" ht="20.100000000000001" customHeight="1" x14ac:dyDescent="0.3">
      <c r="A110" s="21" t="s">
        <v>276</v>
      </c>
      <c r="B110" s="21" t="str">
        <f>IF(OR(misuo[[#This Row],[أسم العميل]]="تاكي",misuo[[#This Row],[أسم العميل]]="شيك هومز",misuo[[#This Row],[أسم العميل]]="اوسكار راتن"),"شركات","افراد")</f>
        <v>افراد</v>
      </c>
      <c r="C110" s="21" t="s">
        <v>64</v>
      </c>
      <c r="D110" s="19" t="s">
        <v>283</v>
      </c>
      <c r="E110" s="17" t="s">
        <v>6</v>
      </c>
      <c r="F110" s="28" t="s">
        <v>5</v>
      </c>
      <c r="G110" s="28" t="s">
        <v>52</v>
      </c>
      <c r="H110" s="28" t="s">
        <v>3</v>
      </c>
      <c r="I110" s="28">
        <v>80</v>
      </c>
      <c r="J110" s="28" t="s">
        <v>2</v>
      </c>
      <c r="K110" s="28"/>
      <c r="L110" s="21" t="s">
        <v>63</v>
      </c>
      <c r="M110" s="25">
        <v>7295</v>
      </c>
      <c r="N110" s="21" t="s">
        <v>295</v>
      </c>
      <c r="O110" s="26">
        <f>IF(OR(ISBLANK(misuo[[#This Row],[ميعاد التسليم]]),ISBLANK(misuo[[#This Row],[ميعاد الطلب]])),0,misuo[[#This Row],[ميعاد التسليم]]-misuo[[#This Row],[ميعاد الطلب]])</f>
        <v>9</v>
      </c>
      <c r="P110" s="26">
        <f>IF(OR(ISBLANK(misuo[[#This Row],[تاريخ التسليم]]),ISBLANK(misuo[[#This Row],[ميعاد الطلب]])),0,misuo[[#This Row],[تاريخ التسليم]]-misuo[[#This Row],[ميعاد الطلب]])</f>
        <v>0</v>
      </c>
      <c r="Q110" s="27">
        <v>45540</v>
      </c>
      <c r="R110" s="27">
        <v>45549</v>
      </c>
      <c r="S110" s="27"/>
      <c r="T110" s="21"/>
      <c r="U110" s="18" t="s">
        <v>0</v>
      </c>
    </row>
    <row r="111" spans="1:21" ht="20.100000000000001" customHeight="1" x14ac:dyDescent="0.3">
      <c r="A111" s="21" t="s">
        <v>62</v>
      </c>
      <c r="B111" s="21" t="str">
        <f>IF(OR(misuo[[#This Row],[أسم العميل]]="تاكي",misuo[[#This Row],[أسم العميل]]="شيك هومز",misuo[[#This Row],[أسم العميل]]="اوسكار راتن"),"شركات","افراد")</f>
        <v>افراد</v>
      </c>
      <c r="C111" s="21" t="s">
        <v>61</v>
      </c>
      <c r="D111" s="19" t="s">
        <v>282</v>
      </c>
      <c r="E111" s="17" t="s">
        <v>6</v>
      </c>
      <c r="F111" s="21" t="s">
        <v>5</v>
      </c>
      <c r="G111" s="21" t="s">
        <v>24</v>
      </c>
      <c r="H111" s="21" t="s">
        <v>31</v>
      </c>
      <c r="I111" s="21">
        <v>80</v>
      </c>
      <c r="J111" s="21" t="s">
        <v>2</v>
      </c>
      <c r="K111" s="21"/>
      <c r="L111" s="21" t="s">
        <v>60</v>
      </c>
      <c r="M111" s="25">
        <v>11199</v>
      </c>
      <c r="N111" s="21" t="s">
        <v>295</v>
      </c>
      <c r="O111" s="26">
        <f>IF(OR(ISBLANK(misuo[[#This Row],[ميعاد التسليم]]),ISBLANK(misuo[[#This Row],[ميعاد الطلب]])),0,misuo[[#This Row],[ميعاد التسليم]]-misuo[[#This Row],[ميعاد الطلب]])</f>
        <v>14</v>
      </c>
      <c r="P111" s="26">
        <f>IF(OR(ISBLANK(misuo[[#This Row],[تاريخ التسليم]]),ISBLANK(misuo[[#This Row],[ميعاد الطلب]])),0,misuo[[#This Row],[تاريخ التسليم]]-misuo[[#This Row],[ميعاد الطلب]])</f>
        <v>0</v>
      </c>
      <c r="Q111" s="27">
        <v>45539</v>
      </c>
      <c r="R111" s="27">
        <v>45553</v>
      </c>
      <c r="S111" s="27"/>
      <c r="T111" s="21"/>
      <c r="U111" s="18" t="s">
        <v>0</v>
      </c>
    </row>
    <row r="112" spans="1:21" ht="20.100000000000001" customHeight="1" x14ac:dyDescent="0.3">
      <c r="A112" s="29" t="s">
        <v>59</v>
      </c>
      <c r="B112" s="29" t="str">
        <f>IF(OR(misuo[[#This Row],[أسم العميل]]="تاكي",misuo[[#This Row],[أسم العميل]]="شيك هومز",misuo[[#This Row],[أسم العميل]]="اوسكار راتن"),"شركات","افراد")</f>
        <v>افراد</v>
      </c>
      <c r="C112" s="29" t="s">
        <v>58</v>
      </c>
      <c r="D112" s="19" t="s">
        <v>282</v>
      </c>
      <c r="E112" s="17" t="s">
        <v>6</v>
      </c>
      <c r="F112" s="28" t="s">
        <v>41</v>
      </c>
      <c r="G112" s="28" t="s">
        <v>57</v>
      </c>
      <c r="H112" s="30"/>
      <c r="I112" s="30"/>
      <c r="J112" s="30"/>
      <c r="K112" s="30"/>
      <c r="L112" s="21" t="s">
        <v>56</v>
      </c>
      <c r="M112" s="31">
        <v>8849</v>
      </c>
      <c r="N112" s="21" t="s">
        <v>1</v>
      </c>
      <c r="O112" s="32">
        <f>IF(OR(ISBLANK(misuo[[#This Row],[ميعاد التسليم]]),ISBLANK(misuo[[#This Row],[ميعاد الطلب]])),0,misuo[[#This Row],[ميعاد التسليم]]-misuo[[#This Row],[ميعاد الطلب]])</f>
        <v>43</v>
      </c>
      <c r="P112" s="32">
        <f>IF(OR(ISBLANK(misuo[[#This Row],[تاريخ التسليم]]),ISBLANK(misuo[[#This Row],[ميعاد الطلب]])),0,misuo[[#This Row],[تاريخ التسليم]]-misuo[[#This Row],[ميعاد الطلب]])</f>
        <v>0</v>
      </c>
      <c r="Q112" s="33">
        <v>45538</v>
      </c>
      <c r="R112" s="33">
        <v>45581</v>
      </c>
      <c r="S112" s="33"/>
      <c r="T112" s="29"/>
      <c r="U112" s="18" t="s">
        <v>0</v>
      </c>
    </row>
    <row r="113" spans="1:21" ht="20.100000000000001" customHeight="1" x14ac:dyDescent="0.3">
      <c r="A113" s="21" t="s">
        <v>277</v>
      </c>
      <c r="B113" s="21" t="str">
        <f>IF(OR(misuo[[#This Row],[أسم العميل]]="تاكي",misuo[[#This Row],[أسم العميل]]="شيك هومز",misuo[[#This Row],[أسم العميل]]="اوسكار راتن"),"شركات","افراد")</f>
        <v>افراد</v>
      </c>
      <c r="C113" s="21" t="s">
        <v>55</v>
      </c>
      <c r="D113" s="19" t="s">
        <v>282</v>
      </c>
      <c r="E113" s="17" t="s">
        <v>6</v>
      </c>
      <c r="F113" s="28" t="s">
        <v>5</v>
      </c>
      <c r="G113" s="28" t="s">
        <v>24</v>
      </c>
      <c r="H113" s="28" t="s">
        <v>3</v>
      </c>
      <c r="I113" s="28">
        <v>90</v>
      </c>
      <c r="J113" s="28" t="s">
        <v>15</v>
      </c>
      <c r="K113" s="28"/>
      <c r="L113" s="21" t="s">
        <v>54</v>
      </c>
      <c r="M113" s="25">
        <v>5999</v>
      </c>
      <c r="N113" s="21" t="s">
        <v>1</v>
      </c>
      <c r="O113" s="26">
        <f>IF(OR(ISBLANK(misuo[[#This Row],[ميعاد التسليم]]),ISBLANK(misuo[[#This Row],[ميعاد الطلب]])),0,misuo[[#This Row],[ميعاد التسليم]]-misuo[[#This Row],[ميعاد الطلب]])</f>
        <v>17</v>
      </c>
      <c r="P113" s="26">
        <f>IF(OR(ISBLANK(misuo[[#This Row],[تاريخ التسليم]]),ISBLANK(misuo[[#This Row],[ميعاد الطلب]])),0,misuo[[#This Row],[تاريخ التسليم]]-misuo[[#This Row],[ميعاد الطلب]])</f>
        <v>0</v>
      </c>
      <c r="Q113" s="27">
        <v>45547</v>
      </c>
      <c r="R113" s="27">
        <v>45564</v>
      </c>
      <c r="S113" s="27"/>
      <c r="T113" s="21"/>
      <c r="U113" s="18" t="s">
        <v>0</v>
      </c>
    </row>
    <row r="114" spans="1:21" ht="20.100000000000001" customHeight="1" x14ac:dyDescent="0.3">
      <c r="A114" s="21" t="s">
        <v>278</v>
      </c>
      <c r="B114" s="21" t="str">
        <f>IF(OR(misuo[[#This Row],[أسم العميل]]="تاكي",misuo[[#This Row],[أسم العميل]]="شيك هومز",misuo[[#This Row],[أسم العميل]]="اوسكار راتن"),"شركات","افراد")</f>
        <v>افراد</v>
      </c>
      <c r="C114" s="21" t="s">
        <v>53</v>
      </c>
      <c r="D114" s="19" t="s">
        <v>282</v>
      </c>
      <c r="E114" s="17" t="s">
        <v>6</v>
      </c>
      <c r="F114" s="30" t="s">
        <v>5</v>
      </c>
      <c r="G114" s="28" t="s">
        <v>52</v>
      </c>
      <c r="H114" s="28" t="s">
        <v>51</v>
      </c>
      <c r="I114" s="30">
        <v>120</v>
      </c>
      <c r="J114" s="30" t="s">
        <v>2</v>
      </c>
      <c r="K114" s="30"/>
      <c r="L114" s="21" t="s">
        <v>50</v>
      </c>
      <c r="M114" s="25">
        <v>17886</v>
      </c>
      <c r="N114" s="21" t="s">
        <v>1</v>
      </c>
      <c r="O114" s="26">
        <f>IF(OR(ISBLANK(misuo[[#This Row],[ميعاد التسليم]]),ISBLANK(misuo[[#This Row],[ميعاد الطلب]])),0,misuo[[#This Row],[ميعاد التسليم]]-misuo[[#This Row],[ميعاد الطلب]])</f>
        <v>45</v>
      </c>
      <c r="P114" s="26">
        <f>IF(OR(ISBLANK(misuo[[#This Row],[تاريخ التسليم]]),ISBLANK(misuo[[#This Row],[ميعاد الطلب]])),0,misuo[[#This Row],[تاريخ التسليم]]-misuo[[#This Row],[ميعاد الطلب]])</f>
        <v>0</v>
      </c>
      <c r="Q114" s="27">
        <v>45549</v>
      </c>
      <c r="R114" s="33">
        <v>45594</v>
      </c>
      <c r="S114" s="27"/>
      <c r="T114" s="21"/>
      <c r="U114" s="18" t="s">
        <v>0</v>
      </c>
    </row>
    <row r="115" spans="1:21" ht="20.100000000000001" customHeight="1" x14ac:dyDescent="0.3">
      <c r="A115" s="21" t="s">
        <v>278</v>
      </c>
      <c r="B115" s="21" t="str">
        <f>IF(OR(misuo[[#This Row],[أسم العميل]]="تاكي",misuo[[#This Row],[أسم العميل]]="شيك هومز",misuo[[#This Row],[أسم العميل]]="اوسكار راتن"),"شركات","افراد")</f>
        <v>افراد</v>
      </c>
      <c r="C115" s="21" t="s">
        <v>53</v>
      </c>
      <c r="D115" s="19" t="s">
        <v>282</v>
      </c>
      <c r="E115" s="17" t="s">
        <v>6</v>
      </c>
      <c r="F115" s="30" t="s">
        <v>5</v>
      </c>
      <c r="G115" s="28" t="s">
        <v>52</v>
      </c>
      <c r="H115" s="28" t="s">
        <v>51</v>
      </c>
      <c r="I115" s="30">
        <v>120</v>
      </c>
      <c r="J115" s="30" t="s">
        <v>2</v>
      </c>
      <c r="K115" s="30"/>
      <c r="L115" s="21" t="s">
        <v>50</v>
      </c>
      <c r="M115" s="25">
        <v>17886</v>
      </c>
      <c r="N115" s="21" t="s">
        <v>1</v>
      </c>
      <c r="O115" s="26">
        <f>IF(OR(ISBLANK(misuo[[#This Row],[ميعاد التسليم]]),ISBLANK(misuo[[#This Row],[ميعاد الطلب]])),0,misuo[[#This Row],[ميعاد التسليم]]-misuo[[#This Row],[ميعاد الطلب]])</f>
        <v>45</v>
      </c>
      <c r="P115" s="26">
        <f>IF(OR(ISBLANK(misuo[[#This Row],[تاريخ التسليم]]),ISBLANK(misuo[[#This Row],[ميعاد الطلب]])),0,misuo[[#This Row],[تاريخ التسليم]]-misuo[[#This Row],[ميعاد الطلب]])</f>
        <v>0</v>
      </c>
      <c r="Q115" s="27">
        <v>45549</v>
      </c>
      <c r="R115" s="33">
        <v>45594</v>
      </c>
      <c r="S115" s="27"/>
      <c r="T115" s="21"/>
      <c r="U115" s="18" t="s">
        <v>0</v>
      </c>
    </row>
    <row r="116" spans="1:21" ht="20.100000000000001" customHeight="1" x14ac:dyDescent="0.3">
      <c r="A116" s="21" t="s">
        <v>49</v>
      </c>
      <c r="B116" s="21" t="str">
        <f>IF(OR(misuo[[#This Row],[أسم العميل]]="تاكي",misuo[[#This Row],[أسم العميل]]="شيك هومز",misuo[[#This Row],[أسم العميل]]="اوسكار راتن"),"شركات","افراد")</f>
        <v>افراد</v>
      </c>
      <c r="C116" s="21" t="s">
        <v>48</v>
      </c>
      <c r="D116" s="19" t="s">
        <v>285</v>
      </c>
      <c r="E116" s="17" t="s">
        <v>6</v>
      </c>
      <c r="F116" s="21" t="s">
        <v>209</v>
      </c>
      <c r="G116" s="28" t="s">
        <v>46</v>
      </c>
      <c r="H116" s="28"/>
      <c r="I116" s="28"/>
      <c r="J116" s="28" t="s">
        <v>15</v>
      </c>
      <c r="K116" s="28" t="s">
        <v>45</v>
      </c>
      <c r="L116" s="21" t="s">
        <v>44</v>
      </c>
      <c r="M116" s="25">
        <v>21999</v>
      </c>
      <c r="N116" s="21" t="s">
        <v>1</v>
      </c>
      <c r="O116" s="32">
        <f>IF(OR(ISBLANK(misuo[[#This Row],[ميعاد التسليم]]),ISBLANK(misuo[[#This Row],[ميعاد الطلب]])),0,misuo[[#This Row],[ميعاد التسليم]]-misuo[[#This Row],[ميعاد الطلب]])</f>
        <v>67</v>
      </c>
      <c r="P116" s="32">
        <f>IF(OR(ISBLANK(misuo[[#This Row],[تاريخ التسليم]]),ISBLANK(misuo[[#This Row],[ميعاد الطلب]])),0,misuo[[#This Row],[تاريخ التسليم]]-misuo[[#This Row],[ميعاد الطلب]])</f>
        <v>0</v>
      </c>
      <c r="Q116" s="33">
        <v>45549</v>
      </c>
      <c r="R116" s="27">
        <v>45616</v>
      </c>
      <c r="S116" s="27"/>
      <c r="T116" s="21"/>
      <c r="U116" s="18" t="s">
        <v>0</v>
      </c>
    </row>
    <row r="117" spans="1:21" ht="20.100000000000001" customHeight="1" x14ac:dyDescent="0.3">
      <c r="A117" s="21" t="s">
        <v>43</v>
      </c>
      <c r="B117" s="21" t="str">
        <f>IF(OR(misuo[[#This Row],[أسم العميل]]="تاكي",misuo[[#This Row],[أسم العميل]]="شيك هومز",misuo[[#This Row],[أسم العميل]]="اوسكار راتن"),"شركات","افراد")</f>
        <v>افراد</v>
      </c>
      <c r="C117" s="21" t="s">
        <v>42</v>
      </c>
      <c r="D117" s="19" t="s">
        <v>283</v>
      </c>
      <c r="E117" s="17" t="s">
        <v>6</v>
      </c>
      <c r="F117" s="28" t="s">
        <v>41</v>
      </c>
      <c r="G117" s="21" t="s">
        <v>16</v>
      </c>
      <c r="H117" s="21"/>
      <c r="I117" s="21"/>
      <c r="J117" s="21"/>
      <c r="K117" s="21"/>
      <c r="L117" s="21"/>
      <c r="M117" s="25">
        <v>8349</v>
      </c>
      <c r="N117" s="21" t="s">
        <v>295</v>
      </c>
      <c r="O117" s="26">
        <f>IF(OR(ISBLANK(misuo[[#This Row],[ميعاد التسليم]]),ISBLANK(misuo[[#This Row],[ميعاد الطلب]])),0,misuo[[#This Row],[ميعاد التسليم]]-misuo[[#This Row],[ميعاد الطلب]])</f>
        <v>45</v>
      </c>
      <c r="P117" s="26">
        <f>IF(OR(ISBLANK(misuo[[#This Row],[تاريخ التسليم]]),ISBLANK(misuo[[#This Row],[ميعاد الطلب]])),0,misuo[[#This Row],[تاريخ التسليم]]-misuo[[#This Row],[ميعاد الطلب]])</f>
        <v>0</v>
      </c>
      <c r="Q117" s="27">
        <v>45561</v>
      </c>
      <c r="R117" s="27">
        <v>45606</v>
      </c>
      <c r="S117" s="27"/>
      <c r="T117" s="21"/>
      <c r="U117" s="18" t="s">
        <v>0</v>
      </c>
    </row>
    <row r="118" spans="1:21" ht="20.100000000000001" customHeight="1" x14ac:dyDescent="0.3">
      <c r="A118" s="21" t="s">
        <v>32</v>
      </c>
      <c r="B118" s="21" t="str">
        <f>IF(OR(misuo[[#This Row],[أسم العميل]]="تاكي",misuo[[#This Row],[أسم العميل]]="شيك هومز",misuo[[#This Row],[أسم العميل]]="اوسكار راتن"),"شركات","افراد")</f>
        <v>شركات</v>
      </c>
      <c r="C118" s="21"/>
      <c r="D118" s="34" t="s">
        <v>286</v>
      </c>
      <c r="E118" s="21" t="s">
        <v>32</v>
      </c>
      <c r="F118" s="21" t="s">
        <v>5</v>
      </c>
      <c r="G118" s="21" t="s">
        <v>24</v>
      </c>
      <c r="H118" s="21" t="s">
        <v>31</v>
      </c>
      <c r="I118" s="21">
        <v>100</v>
      </c>
      <c r="J118" s="21" t="s">
        <v>10</v>
      </c>
      <c r="K118" s="21"/>
      <c r="L118" s="21"/>
      <c r="M118" s="25">
        <v>9208</v>
      </c>
      <c r="N118" s="21" t="s">
        <v>295</v>
      </c>
      <c r="O118" s="26">
        <f>IF(OR(ISBLANK(misuo[[#This Row],[ميعاد التسليم]]),ISBLANK(misuo[[#This Row],[ميعاد الطلب]])),0,misuo[[#This Row],[ميعاد التسليم]]-misuo[[#This Row],[ميعاد الطلب]])</f>
        <v>18</v>
      </c>
      <c r="P118" s="26">
        <f>IF(OR(ISBLANK(misuo[[#This Row],[تاريخ التسليم]]),ISBLANK(misuo[[#This Row],[ميعاد الطلب]])),0,misuo[[#This Row],[تاريخ التسليم]]-misuo[[#This Row],[ميعاد الطلب]])</f>
        <v>0</v>
      </c>
      <c r="Q118" s="27">
        <v>45561</v>
      </c>
      <c r="R118" s="27">
        <v>45579</v>
      </c>
      <c r="S118" s="27"/>
      <c r="T118" s="21"/>
      <c r="U118" s="18" t="s">
        <v>0</v>
      </c>
    </row>
    <row r="119" spans="1:21" ht="20.100000000000001" customHeight="1" x14ac:dyDescent="0.3">
      <c r="A119" s="21" t="s">
        <v>40</v>
      </c>
      <c r="B119" s="21" t="str">
        <f>IF(OR(misuo[[#This Row],[أسم العميل]]="تاكي",misuo[[#This Row],[أسم العميل]]="شيك هومز",misuo[[#This Row],[أسم العميل]]="اوسكار راتن"),"شركات","افراد")</f>
        <v>افراد</v>
      </c>
      <c r="C119" s="21" t="s">
        <v>39</v>
      </c>
      <c r="D119" s="19" t="s">
        <v>282</v>
      </c>
      <c r="E119" s="17" t="s">
        <v>6</v>
      </c>
      <c r="F119" s="21" t="s">
        <v>5</v>
      </c>
      <c r="G119" s="21" t="s">
        <v>38</v>
      </c>
      <c r="H119" s="21"/>
      <c r="I119" s="21"/>
      <c r="J119" s="21" t="s">
        <v>15</v>
      </c>
      <c r="K119" s="21" t="s">
        <v>15</v>
      </c>
      <c r="L119" s="21"/>
      <c r="M119" s="25">
        <v>8899</v>
      </c>
      <c r="N119" s="21" t="s">
        <v>295</v>
      </c>
      <c r="O119" s="26">
        <f>IF(OR(ISBLANK(misuo[[#This Row],[ميعاد التسليم]]),ISBLANK(misuo[[#This Row],[ميعاد الطلب]])),0,misuo[[#This Row],[ميعاد التسليم]]-misuo[[#This Row],[ميعاد الطلب]])</f>
        <v>45</v>
      </c>
      <c r="P119" s="26">
        <f>IF(OR(ISBLANK(misuo[[#This Row],[تاريخ التسليم]]),ISBLANK(misuo[[#This Row],[ميعاد الطلب]])),0,misuo[[#This Row],[تاريخ التسليم]]-misuo[[#This Row],[ميعاد الطلب]])</f>
        <v>0</v>
      </c>
      <c r="Q119" s="27">
        <v>45568</v>
      </c>
      <c r="R119" s="27">
        <v>45613</v>
      </c>
      <c r="S119" s="27"/>
      <c r="T119" s="21"/>
      <c r="U119" s="18" t="s">
        <v>0</v>
      </c>
    </row>
    <row r="120" spans="1:21" ht="20.100000000000001" customHeight="1" x14ac:dyDescent="0.3">
      <c r="A120" s="21" t="s">
        <v>37</v>
      </c>
      <c r="B120" s="21" t="str">
        <f>IF(OR(misuo[[#This Row],[أسم العميل]]="تاكي",misuo[[#This Row],[أسم العميل]]="شيك هومز",misuo[[#This Row],[أسم العميل]]="اوسكار راتن"),"شركات","افراد")</f>
        <v>شركات</v>
      </c>
      <c r="C120" s="21" t="s">
        <v>36</v>
      </c>
      <c r="D120" s="19" t="s">
        <v>282</v>
      </c>
      <c r="E120" s="21" t="s">
        <v>35</v>
      </c>
      <c r="F120" s="21" t="s">
        <v>5</v>
      </c>
      <c r="G120" s="21" t="s">
        <v>24</v>
      </c>
      <c r="H120" s="21" t="s">
        <v>34</v>
      </c>
      <c r="I120" s="21">
        <v>100</v>
      </c>
      <c r="J120" s="21" t="s">
        <v>33</v>
      </c>
      <c r="K120" s="21"/>
      <c r="L120" s="21"/>
      <c r="M120" s="25">
        <v>8544.91</v>
      </c>
      <c r="N120" s="21" t="s">
        <v>27</v>
      </c>
      <c r="O120" s="26">
        <f>IF(OR(ISBLANK(misuo[[#This Row],[ميعاد التسليم]]),ISBLANK(misuo[[#This Row],[ميعاد الطلب]])),0,misuo[[#This Row],[ميعاد التسليم]]-misuo[[#This Row],[ميعاد الطلب]])</f>
        <v>0</v>
      </c>
      <c r="P120" s="26">
        <f>IF(OR(ISBLANK(misuo[[#This Row],[تاريخ التسليم]]),ISBLANK(misuo[[#This Row],[ميعاد الطلب]])),0,misuo[[#This Row],[تاريخ التسليم]]-misuo[[#This Row],[ميعاد الطلب]])</f>
        <v>0</v>
      </c>
      <c r="Q120" s="27">
        <v>45587</v>
      </c>
      <c r="R120" s="27"/>
      <c r="S120" s="27"/>
      <c r="T120" s="21"/>
      <c r="U120" s="18" t="s">
        <v>0</v>
      </c>
    </row>
    <row r="121" spans="1:21" ht="20.100000000000001" customHeight="1" x14ac:dyDescent="0.3">
      <c r="A121" s="21" t="s">
        <v>32</v>
      </c>
      <c r="B121" s="21" t="str">
        <f>IF(OR(misuo[[#This Row],[أسم العميل]]="تاكي",misuo[[#This Row],[أسم العميل]]="شيك هومز",misuo[[#This Row],[أسم العميل]]="اوسكار راتن"),"شركات","افراد")</f>
        <v>شركات</v>
      </c>
      <c r="C121" s="21"/>
      <c r="D121" s="34" t="s">
        <v>286</v>
      </c>
      <c r="E121" s="21" t="s">
        <v>32</v>
      </c>
      <c r="F121" s="21" t="s">
        <v>5</v>
      </c>
      <c r="G121" s="21" t="s">
        <v>24</v>
      </c>
      <c r="H121" s="21" t="s">
        <v>31</v>
      </c>
      <c r="I121" s="21">
        <v>100</v>
      </c>
      <c r="J121" s="21" t="s">
        <v>15</v>
      </c>
      <c r="K121" s="21"/>
      <c r="L121" s="21"/>
      <c r="M121" s="25">
        <v>10045</v>
      </c>
      <c r="N121" s="21" t="s">
        <v>295</v>
      </c>
      <c r="O121" s="26">
        <f>IF(OR(ISBLANK(misuo[[#This Row],[ميعاد التسليم]]),ISBLANK(misuo[[#This Row],[ميعاد الطلب]])),0,misuo[[#This Row],[ميعاد التسليم]]-misuo[[#This Row],[ميعاد الطلب]])</f>
        <v>21</v>
      </c>
      <c r="P121" s="26">
        <f>IF(OR(ISBLANK(misuo[[#This Row],[تاريخ التسليم]]),ISBLANK(misuo[[#This Row],[ميعاد الطلب]])),0,misuo[[#This Row],[تاريخ التسليم]]-misuo[[#This Row],[ميعاد الطلب]])</f>
        <v>0</v>
      </c>
      <c r="Q121" s="27">
        <v>45591</v>
      </c>
      <c r="R121" s="27">
        <v>45612</v>
      </c>
      <c r="S121" s="27"/>
      <c r="T121" s="21"/>
      <c r="U121" s="18" t="s">
        <v>0</v>
      </c>
    </row>
    <row r="122" spans="1:21" ht="20.100000000000001" customHeight="1" x14ac:dyDescent="0.3">
      <c r="A122" s="21" t="s">
        <v>249</v>
      </c>
      <c r="B122" s="21" t="str">
        <f>IF(OR(misuo[[#This Row],[أسم العميل]]="تاكي",misuo[[#This Row],[أسم العميل]]="شيك هومز",misuo[[#This Row],[أسم العميل]]="اوسكار راتن"),"شركات","افراد")</f>
        <v>شركات</v>
      </c>
      <c r="C122" s="21" t="s">
        <v>30</v>
      </c>
      <c r="D122" s="19" t="s">
        <v>282</v>
      </c>
      <c r="E122" s="21" t="s">
        <v>91</v>
      </c>
      <c r="F122" s="21" t="s">
        <v>5</v>
      </c>
      <c r="G122" s="21" t="s">
        <v>29</v>
      </c>
      <c r="H122" s="21" t="s">
        <v>28</v>
      </c>
      <c r="I122" s="21">
        <v>160</v>
      </c>
      <c r="J122" s="21" t="s">
        <v>15</v>
      </c>
      <c r="K122" s="21"/>
      <c r="L122" s="21"/>
      <c r="M122" s="25">
        <v>5100</v>
      </c>
      <c r="N122" s="21" t="s">
        <v>27</v>
      </c>
      <c r="O122" s="26">
        <f>IF(OR(ISBLANK(misuo[[#This Row],[ميعاد التسليم]]),ISBLANK(misuo[[#This Row],[ميعاد الطلب]])),0,misuo[[#This Row],[ميعاد التسليم]]-misuo[[#This Row],[ميعاد الطلب]])</f>
        <v>24</v>
      </c>
      <c r="P122" s="26">
        <f>IF(OR(ISBLANK(misuo[[#This Row],[تاريخ التسليم]]),ISBLANK(misuo[[#This Row],[ميعاد الطلب]])),0,misuo[[#This Row],[تاريخ التسليم]]-misuo[[#This Row],[ميعاد الطلب]])</f>
        <v>0</v>
      </c>
      <c r="Q122" s="27">
        <v>45610</v>
      </c>
      <c r="R122" s="27">
        <v>45634</v>
      </c>
      <c r="S122" s="27"/>
      <c r="T122" s="21"/>
      <c r="U122" s="21" t="s">
        <v>0</v>
      </c>
    </row>
    <row r="123" spans="1:21" ht="20.100000000000001" customHeight="1" x14ac:dyDescent="0.3">
      <c r="A123" s="21" t="s">
        <v>26</v>
      </c>
      <c r="B123" s="21" t="str">
        <f>IF(OR(misuo[[#This Row],[أسم العميل]]="تاكي",misuo[[#This Row],[أسم العميل]]="شيك هومز",misuo[[#This Row],[أسم العميل]]="اوسكار راتن"),"شركات","افراد")</f>
        <v>افراد</v>
      </c>
      <c r="C123" s="21" t="s">
        <v>25</v>
      </c>
      <c r="D123" s="19" t="s">
        <v>284</v>
      </c>
      <c r="E123" s="17" t="s">
        <v>6</v>
      </c>
      <c r="F123" s="21" t="s">
        <v>5</v>
      </c>
      <c r="G123" s="21" t="s">
        <v>24</v>
      </c>
      <c r="H123" s="21" t="s">
        <v>23</v>
      </c>
      <c r="I123" s="21">
        <v>100</v>
      </c>
      <c r="J123" s="21" t="s">
        <v>15</v>
      </c>
      <c r="K123" s="21"/>
      <c r="L123" s="21"/>
      <c r="M123" s="25">
        <v>14905</v>
      </c>
      <c r="N123" s="21" t="s">
        <v>1</v>
      </c>
      <c r="O123" s="26">
        <f>IF(OR(ISBLANK(misuo[[#This Row],[ميعاد التسليم]]),ISBLANK(misuo[[#This Row],[ميعاد الطلب]])),0,misuo[[#This Row],[ميعاد التسليم]]-misuo[[#This Row],[ميعاد الطلب]])</f>
        <v>16</v>
      </c>
      <c r="P123" s="26">
        <f>IF(OR(ISBLANK(misuo[[#This Row],[تاريخ التسليم]]),ISBLANK(misuo[[#This Row],[ميعاد الطلب]])),0,misuo[[#This Row],[تاريخ التسليم]]-misuo[[#This Row],[ميعاد الطلب]])</f>
        <v>0</v>
      </c>
      <c r="Q123" s="27">
        <v>45625</v>
      </c>
      <c r="R123" s="27">
        <v>45641</v>
      </c>
      <c r="S123" s="27"/>
      <c r="T123" s="21" t="s">
        <v>22</v>
      </c>
      <c r="U123" s="18" t="s">
        <v>0</v>
      </c>
    </row>
    <row r="124" spans="1:21" ht="20.100000000000001" customHeight="1" x14ac:dyDescent="0.3">
      <c r="A124" s="21" t="s">
        <v>18</v>
      </c>
      <c r="B124" s="21" t="str">
        <f>IF(OR(misuo[[#This Row],[أسم العميل]]="تاكي",misuo[[#This Row],[أسم العميل]]="شيك هومز",misuo[[#This Row],[أسم العميل]]="اوسكار راتن"),"شركات","افراد")</f>
        <v>افراد</v>
      </c>
      <c r="C124" s="21" t="s">
        <v>17</v>
      </c>
      <c r="D124" s="19" t="s">
        <v>282</v>
      </c>
      <c r="E124" s="17" t="s">
        <v>6</v>
      </c>
      <c r="F124" s="28" t="s">
        <v>41</v>
      </c>
      <c r="G124" s="21" t="s">
        <v>21</v>
      </c>
      <c r="H124" s="21" t="s">
        <v>20</v>
      </c>
      <c r="I124" s="21"/>
      <c r="J124" s="21" t="s">
        <v>10</v>
      </c>
      <c r="K124" s="21" t="s">
        <v>19</v>
      </c>
      <c r="L124" s="21"/>
      <c r="M124" s="25">
        <v>10249</v>
      </c>
      <c r="N124" s="21" t="s">
        <v>1</v>
      </c>
      <c r="O124" s="26">
        <f>IF(OR(ISBLANK(misuo[[#This Row],[ميعاد التسليم]]),ISBLANK(misuo[[#This Row],[ميعاد الطلب]])),0,misuo[[#This Row],[ميعاد التسليم]]-misuo[[#This Row],[ميعاد الطلب]])</f>
        <v>12</v>
      </c>
      <c r="P124" s="26">
        <f>IF(OR(ISBLANK(misuo[[#This Row],[تاريخ التسليم]]),ISBLANK(misuo[[#This Row],[ميعاد الطلب]])),0,misuo[[#This Row],[تاريخ التسليم]]-misuo[[#This Row],[ميعاد الطلب]])</f>
        <v>0</v>
      </c>
      <c r="Q124" s="27">
        <v>45626</v>
      </c>
      <c r="R124" s="27">
        <v>45638</v>
      </c>
      <c r="S124" s="27"/>
      <c r="T124" s="21"/>
      <c r="U124" s="18" t="s">
        <v>0</v>
      </c>
    </row>
    <row r="125" spans="1:21" ht="20.100000000000001" customHeight="1" x14ac:dyDescent="0.3">
      <c r="A125" s="21" t="s">
        <v>18</v>
      </c>
      <c r="B125" s="21" t="str">
        <f>IF(OR(misuo[[#This Row],[أسم العميل]]="تاكي",misuo[[#This Row],[أسم العميل]]="شيك هومز",misuo[[#This Row],[أسم العميل]]="اوسكار راتن"),"شركات","افراد")</f>
        <v>افراد</v>
      </c>
      <c r="C125" s="21" t="s">
        <v>17</v>
      </c>
      <c r="D125" s="19" t="s">
        <v>282</v>
      </c>
      <c r="E125" s="17" t="s">
        <v>6</v>
      </c>
      <c r="F125" s="28" t="s">
        <v>41</v>
      </c>
      <c r="G125" s="21" t="s">
        <v>16</v>
      </c>
      <c r="H125" s="21"/>
      <c r="I125" s="21"/>
      <c r="J125" s="21" t="s">
        <v>15</v>
      </c>
      <c r="K125" s="21" t="s">
        <v>14</v>
      </c>
      <c r="L125" s="21"/>
      <c r="M125" s="25">
        <v>9029</v>
      </c>
      <c r="N125" s="21" t="s">
        <v>1</v>
      </c>
      <c r="O125" s="26">
        <f>IF(OR(ISBLANK(misuo[[#This Row],[ميعاد التسليم]]),ISBLANK(misuo[[#This Row],[ميعاد الطلب]])),0,misuo[[#This Row],[ميعاد التسليم]]-misuo[[#This Row],[ميعاد الطلب]])</f>
        <v>12</v>
      </c>
      <c r="P125" s="26">
        <f>IF(OR(ISBLANK(misuo[[#This Row],[تاريخ التسليم]]),ISBLANK(misuo[[#This Row],[ميعاد الطلب]])),0,misuo[[#This Row],[تاريخ التسليم]]-misuo[[#This Row],[ميعاد الطلب]])</f>
        <v>0</v>
      </c>
      <c r="Q125" s="27">
        <v>45626</v>
      </c>
      <c r="R125" s="27">
        <v>45638</v>
      </c>
      <c r="S125" s="27"/>
      <c r="T125" s="21"/>
      <c r="U125" s="18" t="s">
        <v>0</v>
      </c>
    </row>
    <row r="126" spans="1:21" ht="20.100000000000001" customHeight="1" x14ac:dyDescent="0.3">
      <c r="A126" s="21" t="s">
        <v>13</v>
      </c>
      <c r="B126" s="21" t="str">
        <f>IF(OR(misuo[[#This Row],[أسم العميل]]="تاكي",misuo[[#This Row],[أسم العميل]]="شيك هومز",misuo[[#This Row],[أسم العميل]]="اوسكار راتن"),"شركات","افراد")</f>
        <v>افراد</v>
      </c>
      <c r="C126" s="21" t="s">
        <v>12</v>
      </c>
      <c r="D126" s="19" t="s">
        <v>133</v>
      </c>
      <c r="E126" s="17" t="s">
        <v>6</v>
      </c>
      <c r="F126" s="28" t="s">
        <v>41</v>
      </c>
      <c r="G126" s="21" t="s">
        <v>11</v>
      </c>
      <c r="H126" s="21"/>
      <c r="I126" s="21"/>
      <c r="J126" s="21" t="s">
        <v>10</v>
      </c>
      <c r="K126" s="21" t="s">
        <v>9</v>
      </c>
      <c r="L126" s="21"/>
      <c r="M126" s="25">
        <v>9029</v>
      </c>
      <c r="N126" s="21" t="s">
        <v>1</v>
      </c>
      <c r="O126" s="26">
        <f>IF(OR(ISBLANK(misuo[[#This Row],[ميعاد التسليم]]),ISBLANK(misuo[[#This Row],[ميعاد الطلب]])),0,misuo[[#This Row],[ميعاد التسليم]]-misuo[[#This Row],[ميعاد الطلب]])</f>
        <v>12</v>
      </c>
      <c r="P126" s="26">
        <f>IF(OR(ISBLANK(misuo[[#This Row],[تاريخ التسليم]]),ISBLANK(misuo[[#This Row],[ميعاد الطلب]])),0,misuo[[#This Row],[تاريخ التسليم]]-misuo[[#This Row],[ميعاد الطلب]])</f>
        <v>0</v>
      </c>
      <c r="Q126" s="27">
        <v>45626</v>
      </c>
      <c r="R126" s="27">
        <v>45638</v>
      </c>
      <c r="S126" s="27"/>
      <c r="T126" s="21"/>
      <c r="U126" s="21" t="s">
        <v>0</v>
      </c>
    </row>
    <row r="127" spans="1:21" ht="20.100000000000001" customHeight="1" x14ac:dyDescent="0.3">
      <c r="A127" s="21" t="s">
        <v>8</v>
      </c>
      <c r="B127" s="21" t="str">
        <f>IF(OR(misuo[[#This Row],[أسم العميل]]="تاكي",misuo[[#This Row],[أسم العميل]]="شيك هومز",misuo[[#This Row],[أسم العميل]]="اوسكار راتن"),"شركات","افراد")</f>
        <v>افراد</v>
      </c>
      <c r="C127" s="21" t="s">
        <v>7</v>
      </c>
      <c r="D127" s="19" t="s">
        <v>282</v>
      </c>
      <c r="E127" s="17" t="s">
        <v>6</v>
      </c>
      <c r="F127" s="21" t="s">
        <v>5</v>
      </c>
      <c r="G127" s="21" t="s">
        <v>4</v>
      </c>
      <c r="H127" s="21" t="s">
        <v>3</v>
      </c>
      <c r="I127" s="38">
        <v>80</v>
      </c>
      <c r="J127" s="21" t="s">
        <v>2</v>
      </c>
      <c r="K127" s="21"/>
      <c r="L127" s="21"/>
      <c r="M127" s="25">
        <v>12099</v>
      </c>
      <c r="N127" s="21" t="s">
        <v>1</v>
      </c>
      <c r="O127" s="26">
        <f>IF(OR(ISBLANK(misuo[[#This Row],[ميعاد التسليم]]),ISBLANK(misuo[[#This Row],[ميعاد الطلب]])),0,misuo[[#This Row],[ميعاد التسليم]]-misuo[[#This Row],[ميعاد الطلب]])</f>
        <v>15</v>
      </c>
      <c r="P127" s="26">
        <f>IF(OR(ISBLANK(misuo[[#This Row],[تاريخ التسليم]]),ISBLANK(misuo[[#This Row],[ميعاد الطلب]])),0,misuo[[#This Row],[تاريخ التسليم]]-misuo[[#This Row],[ميعاد الطلب]])</f>
        <v>0</v>
      </c>
      <c r="Q127" s="27">
        <v>45628</v>
      </c>
      <c r="R127" s="27">
        <v>45643</v>
      </c>
      <c r="S127" s="27"/>
      <c r="T127" s="21"/>
      <c r="U127" s="18" t="s">
        <v>0</v>
      </c>
    </row>
    <row r="128" spans="1:21" ht="20.100000000000001" customHeight="1" x14ac:dyDescent="0.3">
      <c r="B128" s="21" t="str">
        <f>IF(OR(misuo[[#This Row],[أسم العميل]]="تاكي",misuo[[#This Row],[أسم العميل]]="شيك هومز",misuo[[#This Row],[أسم العميل]]="اوسكار راتن"),"شركات","افراد")</f>
        <v>افراد</v>
      </c>
      <c r="N128" s="21"/>
      <c r="O128" s="26">
        <f>IF(OR(ISBLANK(misuo[[#This Row],[ميعاد التسليم]]),ISBLANK(misuo[[#This Row],[ميعاد الطلب]])),0,misuo[[#This Row],[ميعاد التسليم]]-misuo[[#This Row],[ميعاد الطلب]])</f>
        <v>0</v>
      </c>
      <c r="P128" s="26">
        <f>IF(OR(ISBLANK(misuo[[#This Row],[تاريخ التسليم]]),ISBLANK(misuo[[#This Row],[ميعاد الطلب]])),0,misuo[[#This Row],[تاريخ التسليم]]-misuo[[#This Row],[ميعاد الطلب]])</f>
        <v>0</v>
      </c>
    </row>
    <row r="129" spans="2:16" ht="20.100000000000001" customHeight="1" x14ac:dyDescent="0.3">
      <c r="B129" s="44"/>
    </row>
    <row r="130" spans="2:16" ht="20.100000000000001" customHeight="1" x14ac:dyDescent="0.3">
      <c r="O130" s="45">
        <f>AVERAGE(misuo[معاد التسليم الهدف])</f>
        <v>21.826771653543307</v>
      </c>
      <c r="P130" s="45">
        <f>AVERAGE(misuo[معاد التسليم الفعلي])</f>
        <v>15.204724409448819</v>
      </c>
    </row>
    <row r="131" spans="2:16" ht="20.100000000000001" customHeight="1" x14ac:dyDescent="0.3"/>
    <row r="132" spans="2:16" ht="20.100000000000001" customHeight="1" x14ac:dyDescent="0.3"/>
    <row r="133" spans="2:16" ht="20.100000000000001" customHeight="1" x14ac:dyDescent="0.3"/>
    <row r="134" spans="2:16" ht="20.100000000000001" customHeight="1" x14ac:dyDescent="0.3"/>
    <row r="135" spans="2:16" ht="20.100000000000001" customHeight="1" x14ac:dyDescent="0.3"/>
    <row r="136" spans="2:16" ht="20.100000000000001" customHeight="1" x14ac:dyDescent="0.3"/>
    <row r="137" spans="2:16" ht="20.100000000000001" customHeight="1" x14ac:dyDescent="0.3"/>
    <row r="138" spans="2:16" ht="20.100000000000001" customHeight="1" x14ac:dyDescent="0.3"/>
    <row r="139" spans="2:16" ht="20.100000000000001" customHeight="1" x14ac:dyDescent="0.3"/>
    <row r="140" spans="2:16" ht="20.100000000000001" customHeight="1" x14ac:dyDescent="0.3"/>
    <row r="141" spans="2:16" ht="20.100000000000001" customHeight="1" x14ac:dyDescent="0.3"/>
    <row r="142" spans="2:16" ht="20.100000000000001" customHeight="1" x14ac:dyDescent="0.3"/>
    <row r="143" spans="2:16" ht="20.100000000000001" customHeight="1" x14ac:dyDescent="0.3"/>
    <row r="144" spans="2:16" ht="20.100000000000001" customHeight="1" x14ac:dyDescent="0.3"/>
    <row r="145" ht="20.100000000000001" customHeight="1" x14ac:dyDescent="0.3"/>
    <row r="146" ht="20.100000000000001" customHeight="1" x14ac:dyDescent="0.3"/>
    <row r="147" ht="20.100000000000001" customHeight="1" x14ac:dyDescent="0.3"/>
    <row r="148" ht="20.100000000000001" customHeight="1" x14ac:dyDescent="0.3"/>
    <row r="149" ht="20.100000000000001" customHeight="1" x14ac:dyDescent="0.3"/>
    <row r="150" ht="20.100000000000001" customHeight="1" x14ac:dyDescent="0.3"/>
    <row r="151" ht="20.100000000000001" customHeight="1" x14ac:dyDescent="0.3"/>
    <row r="152" ht="20.100000000000001" customHeight="1" x14ac:dyDescent="0.3"/>
    <row r="153" ht="20.100000000000001" customHeight="1" x14ac:dyDescent="0.3"/>
    <row r="154" ht="20.100000000000001" customHeight="1" x14ac:dyDescent="0.3"/>
    <row r="155" ht="20.100000000000001" customHeight="1" x14ac:dyDescent="0.3"/>
    <row r="156" ht="20.100000000000001" customHeight="1" x14ac:dyDescent="0.3"/>
    <row r="157" ht="20.100000000000001" customHeight="1" x14ac:dyDescent="0.3"/>
    <row r="158" ht="20.100000000000001" customHeight="1" x14ac:dyDescent="0.3"/>
    <row r="159" ht="20.100000000000001" customHeight="1" x14ac:dyDescent="0.3"/>
    <row r="160" ht="20.100000000000001" customHeight="1" x14ac:dyDescent="0.3"/>
    <row r="161" ht="20.100000000000001" customHeight="1" x14ac:dyDescent="0.3"/>
    <row r="162" ht="20.100000000000001" customHeight="1" x14ac:dyDescent="0.3"/>
    <row r="163" ht="20.100000000000001" customHeight="1" x14ac:dyDescent="0.3"/>
    <row r="164" ht="20.100000000000001" customHeight="1" x14ac:dyDescent="0.3"/>
    <row r="165" ht="20.100000000000001" customHeight="1" x14ac:dyDescent="0.3"/>
    <row r="166" ht="20.100000000000001" customHeight="1" x14ac:dyDescent="0.3"/>
    <row r="167" ht="20.100000000000001" customHeight="1" x14ac:dyDescent="0.3"/>
    <row r="168" ht="20.100000000000001" customHeight="1" x14ac:dyDescent="0.3"/>
    <row r="169" ht="20.100000000000001" customHeight="1" x14ac:dyDescent="0.3"/>
    <row r="170" ht="20.100000000000001" customHeight="1" x14ac:dyDescent="0.3"/>
    <row r="171" ht="20.100000000000001" customHeight="1" x14ac:dyDescent="0.3"/>
    <row r="172" ht="20.100000000000001" customHeight="1" x14ac:dyDescent="0.3"/>
    <row r="173" ht="20.100000000000001" customHeight="1" x14ac:dyDescent="0.3"/>
    <row r="174" ht="20.100000000000001" customHeight="1" x14ac:dyDescent="0.3"/>
    <row r="175" ht="20.100000000000001" customHeight="1" x14ac:dyDescent="0.3"/>
    <row r="176" ht="20.100000000000001" customHeight="1" x14ac:dyDescent="0.3"/>
    <row r="177" ht="20.100000000000001" customHeight="1" x14ac:dyDescent="0.3"/>
    <row r="178" ht="20.100000000000001" customHeight="1" x14ac:dyDescent="0.3"/>
    <row r="179" ht="20.100000000000001" customHeight="1" x14ac:dyDescent="0.3"/>
    <row r="180" ht="20.100000000000001" customHeight="1" x14ac:dyDescent="0.3"/>
    <row r="181" ht="20.100000000000001" customHeight="1" x14ac:dyDescent="0.3"/>
    <row r="182" ht="20.100000000000001" customHeight="1" x14ac:dyDescent="0.3"/>
    <row r="183" ht="20.100000000000001" customHeight="1" x14ac:dyDescent="0.3"/>
    <row r="184" ht="20.100000000000001" customHeight="1" x14ac:dyDescent="0.3"/>
    <row r="185" ht="20.100000000000001" customHeight="1" x14ac:dyDescent="0.3"/>
    <row r="186" ht="20.100000000000001" customHeight="1" x14ac:dyDescent="0.3"/>
    <row r="187" ht="20.100000000000001" customHeight="1" x14ac:dyDescent="0.3"/>
    <row r="188" ht="20.100000000000001" customHeight="1" x14ac:dyDescent="0.3"/>
    <row r="189" ht="20.100000000000001" customHeight="1" x14ac:dyDescent="0.3"/>
    <row r="190" ht="20.100000000000001" customHeight="1" x14ac:dyDescent="0.3"/>
    <row r="191" ht="20.100000000000001" customHeight="1" x14ac:dyDescent="0.3"/>
    <row r="192" ht="20.100000000000001" customHeight="1" x14ac:dyDescent="0.3"/>
    <row r="193" ht="20.100000000000001" customHeight="1" x14ac:dyDescent="0.3"/>
    <row r="194" ht="20.100000000000001" customHeight="1" x14ac:dyDescent="0.3"/>
    <row r="195" ht="20.100000000000001" customHeight="1" x14ac:dyDescent="0.3"/>
    <row r="196" ht="20.100000000000001" customHeight="1" x14ac:dyDescent="0.3"/>
    <row r="197" ht="20.100000000000001" customHeight="1" x14ac:dyDescent="0.3"/>
    <row r="198" ht="20.100000000000001" customHeight="1" x14ac:dyDescent="0.3"/>
    <row r="199" ht="20.100000000000001" customHeight="1" x14ac:dyDescent="0.3"/>
    <row r="200" ht="20.100000000000001" customHeight="1" x14ac:dyDescent="0.3"/>
    <row r="201" ht="20.100000000000001" customHeight="1" x14ac:dyDescent="0.3"/>
    <row r="202" ht="20.100000000000001" customHeight="1" x14ac:dyDescent="0.3"/>
    <row r="203" ht="20.100000000000001" customHeight="1" x14ac:dyDescent="0.3"/>
    <row r="204" ht="20.100000000000001" customHeight="1" x14ac:dyDescent="0.3"/>
    <row r="205" ht="20.100000000000001" customHeight="1" x14ac:dyDescent="0.3"/>
    <row r="206" ht="20.100000000000001" customHeight="1" x14ac:dyDescent="0.3"/>
    <row r="207" ht="20.100000000000001" customHeight="1" x14ac:dyDescent="0.3"/>
    <row r="208" ht="20.100000000000001" customHeight="1" x14ac:dyDescent="0.3"/>
    <row r="209" ht="20.100000000000001" customHeight="1" x14ac:dyDescent="0.3"/>
    <row r="210" ht="20.100000000000001" customHeight="1" x14ac:dyDescent="0.3"/>
    <row r="211" ht="20.100000000000001" customHeight="1" x14ac:dyDescent="0.3"/>
    <row r="212" ht="20.100000000000001" customHeight="1" x14ac:dyDescent="0.3"/>
    <row r="213" ht="20.100000000000001" customHeight="1" x14ac:dyDescent="0.3"/>
    <row r="214" ht="20.100000000000001" customHeight="1" x14ac:dyDescent="0.3"/>
    <row r="215" ht="20.100000000000001" customHeight="1" x14ac:dyDescent="0.3"/>
    <row r="216" ht="20.100000000000001" customHeight="1" x14ac:dyDescent="0.3"/>
    <row r="217" ht="20.100000000000001" customHeight="1" x14ac:dyDescent="0.3"/>
    <row r="218" ht="20.100000000000001" customHeight="1" x14ac:dyDescent="0.3"/>
    <row r="219" ht="20.100000000000001" customHeight="1" x14ac:dyDescent="0.3"/>
    <row r="220" ht="20.100000000000001" customHeight="1" x14ac:dyDescent="0.3"/>
    <row r="221" ht="20.100000000000001" customHeight="1" x14ac:dyDescent="0.3"/>
    <row r="222" ht="20.100000000000001" customHeight="1" x14ac:dyDescent="0.3"/>
    <row r="223" ht="20.100000000000001" customHeight="1" x14ac:dyDescent="0.3"/>
    <row r="224" ht="20.100000000000001" customHeight="1" x14ac:dyDescent="0.3"/>
    <row r="225" ht="20.100000000000001" customHeight="1" x14ac:dyDescent="0.3"/>
    <row r="226" ht="20.100000000000001" customHeight="1" x14ac:dyDescent="0.3"/>
    <row r="227" ht="20.100000000000001" customHeight="1" x14ac:dyDescent="0.3"/>
    <row r="228" ht="20.100000000000001" customHeight="1" x14ac:dyDescent="0.3"/>
    <row r="229" ht="20.100000000000001" customHeight="1" x14ac:dyDescent="0.3"/>
    <row r="230" ht="20.100000000000001" customHeight="1" x14ac:dyDescent="0.3"/>
    <row r="231" ht="20.100000000000001" customHeight="1" x14ac:dyDescent="0.3"/>
    <row r="232" ht="20.100000000000001" customHeight="1" x14ac:dyDescent="0.3"/>
    <row r="233" ht="20.100000000000001" customHeight="1" x14ac:dyDescent="0.3"/>
    <row r="234" ht="20.100000000000001" customHeight="1" x14ac:dyDescent="0.3"/>
    <row r="235" ht="20.100000000000001" customHeight="1" x14ac:dyDescent="0.3"/>
    <row r="236" ht="20.100000000000001" customHeight="1" x14ac:dyDescent="0.3"/>
    <row r="237" ht="20.100000000000001" customHeight="1" x14ac:dyDescent="0.3"/>
    <row r="238" ht="20.100000000000001" customHeight="1" x14ac:dyDescent="0.3"/>
    <row r="239" ht="20.100000000000001" customHeight="1" x14ac:dyDescent="0.3"/>
    <row r="240" ht="20.100000000000001" customHeight="1" x14ac:dyDescent="0.3"/>
    <row r="241" ht="20.100000000000001" customHeight="1" x14ac:dyDescent="0.3"/>
    <row r="242" ht="20.100000000000001" customHeight="1" x14ac:dyDescent="0.3"/>
    <row r="243" ht="20.100000000000001" customHeight="1" x14ac:dyDescent="0.3"/>
    <row r="244" ht="20.100000000000001" customHeight="1" x14ac:dyDescent="0.3"/>
    <row r="245" ht="20.100000000000001" customHeight="1" x14ac:dyDescent="0.3"/>
    <row r="246" ht="20.100000000000001" customHeight="1" x14ac:dyDescent="0.3"/>
    <row r="247" ht="20.100000000000001" customHeight="1" x14ac:dyDescent="0.3"/>
    <row r="248" ht="20.100000000000001" customHeight="1" x14ac:dyDescent="0.3"/>
    <row r="249" ht="20.100000000000001" customHeight="1" x14ac:dyDescent="0.3"/>
    <row r="250" ht="20.100000000000001" customHeight="1" x14ac:dyDescent="0.3"/>
    <row r="251" ht="20.100000000000001" customHeight="1" x14ac:dyDescent="0.3"/>
    <row r="252" ht="20.100000000000001" customHeight="1" x14ac:dyDescent="0.3"/>
    <row r="253" ht="20.100000000000001" customHeight="1" x14ac:dyDescent="0.3"/>
    <row r="254" ht="20.100000000000001" customHeight="1" x14ac:dyDescent="0.3"/>
    <row r="255" ht="20.100000000000001" customHeight="1" x14ac:dyDescent="0.3"/>
    <row r="256" ht="20.100000000000001" customHeight="1" x14ac:dyDescent="0.3"/>
    <row r="257" ht="20.100000000000001" customHeight="1" x14ac:dyDescent="0.3"/>
    <row r="258" ht="20.100000000000001" customHeight="1" x14ac:dyDescent="0.3"/>
    <row r="259" ht="20.100000000000001" customHeight="1" x14ac:dyDescent="0.3"/>
    <row r="260" ht="20.100000000000001" customHeight="1" x14ac:dyDescent="0.3"/>
    <row r="261" ht="20.100000000000001" customHeight="1" x14ac:dyDescent="0.3"/>
    <row r="262" ht="20.100000000000001" customHeight="1" x14ac:dyDescent="0.3"/>
    <row r="263" ht="20.100000000000001" customHeight="1" x14ac:dyDescent="0.3"/>
    <row r="264" ht="20.100000000000001" customHeight="1" x14ac:dyDescent="0.3"/>
    <row r="265" ht="20.100000000000001" customHeight="1" x14ac:dyDescent="0.3"/>
    <row r="266" ht="20.100000000000001" customHeight="1" x14ac:dyDescent="0.3"/>
    <row r="267" ht="20.100000000000001" customHeight="1" x14ac:dyDescent="0.3"/>
    <row r="268" ht="20.100000000000001" customHeight="1" x14ac:dyDescent="0.3"/>
    <row r="269" ht="20.100000000000001" customHeight="1" x14ac:dyDescent="0.3"/>
    <row r="270" ht="20.100000000000001" customHeight="1" x14ac:dyDescent="0.3"/>
    <row r="271" ht="20.100000000000001" customHeight="1" x14ac:dyDescent="0.3"/>
    <row r="272" ht="20.100000000000001" customHeight="1" x14ac:dyDescent="0.3"/>
    <row r="273" ht="20.100000000000001" customHeight="1" x14ac:dyDescent="0.3"/>
    <row r="274" ht="20.100000000000001" customHeight="1" x14ac:dyDescent="0.3"/>
    <row r="275" ht="20.100000000000001" customHeight="1" x14ac:dyDescent="0.3"/>
    <row r="276" ht="20.100000000000001" customHeight="1" x14ac:dyDescent="0.3"/>
    <row r="277" ht="20.100000000000001" customHeight="1" x14ac:dyDescent="0.3"/>
    <row r="278" ht="20.100000000000001" customHeight="1" x14ac:dyDescent="0.3"/>
    <row r="279" ht="20.100000000000001" customHeight="1" x14ac:dyDescent="0.3"/>
    <row r="280" ht="20.100000000000001" customHeight="1" x14ac:dyDescent="0.3"/>
    <row r="281" ht="20.100000000000001" customHeight="1" x14ac:dyDescent="0.3"/>
    <row r="282" ht="20.100000000000001" customHeight="1" x14ac:dyDescent="0.3"/>
    <row r="283" ht="20.100000000000001" customHeight="1" x14ac:dyDescent="0.3"/>
    <row r="284" ht="20.100000000000001" customHeight="1" x14ac:dyDescent="0.3"/>
    <row r="285" ht="20.100000000000001" customHeight="1" x14ac:dyDescent="0.3"/>
    <row r="286" ht="20.100000000000001" customHeight="1" x14ac:dyDescent="0.3"/>
    <row r="287" ht="20.100000000000001" customHeight="1" x14ac:dyDescent="0.3"/>
    <row r="288" ht="20.100000000000001" customHeight="1" x14ac:dyDescent="0.3"/>
    <row r="289" ht="20.100000000000001" customHeight="1" x14ac:dyDescent="0.3"/>
    <row r="290" ht="20.100000000000001" customHeight="1" x14ac:dyDescent="0.3"/>
    <row r="291" ht="20.100000000000001" customHeight="1" x14ac:dyDescent="0.3"/>
    <row r="292" ht="20.100000000000001" customHeight="1" x14ac:dyDescent="0.3"/>
    <row r="293" ht="20.100000000000001" customHeight="1" x14ac:dyDescent="0.3"/>
    <row r="294" ht="20.100000000000001" customHeight="1" x14ac:dyDescent="0.3"/>
    <row r="295" ht="20.100000000000001" customHeight="1" x14ac:dyDescent="0.3"/>
    <row r="296" ht="20.100000000000001" customHeight="1" x14ac:dyDescent="0.3"/>
    <row r="297" ht="20.100000000000001" customHeight="1" x14ac:dyDescent="0.3"/>
    <row r="298" ht="20.100000000000001" customHeight="1" x14ac:dyDescent="0.3"/>
    <row r="299" ht="20.100000000000001" customHeight="1" x14ac:dyDescent="0.3"/>
    <row r="300" ht="20.100000000000001" customHeight="1" x14ac:dyDescent="0.3"/>
    <row r="301" ht="20.100000000000001" customHeight="1" x14ac:dyDescent="0.3"/>
    <row r="302" ht="20.100000000000001" customHeight="1" x14ac:dyDescent="0.3"/>
    <row r="303" ht="20.100000000000001" customHeight="1" x14ac:dyDescent="0.3"/>
    <row r="304" ht="20.100000000000001" customHeight="1" x14ac:dyDescent="0.3"/>
    <row r="305" ht="20.100000000000001" customHeight="1" x14ac:dyDescent="0.3"/>
    <row r="306" ht="20.100000000000001" customHeight="1" x14ac:dyDescent="0.3"/>
    <row r="307" ht="20.100000000000001" customHeight="1" x14ac:dyDescent="0.3"/>
    <row r="308" ht="20.100000000000001" customHeight="1" x14ac:dyDescent="0.3"/>
    <row r="309" ht="20.100000000000001" customHeight="1" x14ac:dyDescent="0.3"/>
    <row r="310" ht="20.100000000000001" customHeight="1" x14ac:dyDescent="0.3"/>
    <row r="311" ht="20.100000000000001" customHeight="1" x14ac:dyDescent="0.3"/>
    <row r="312" ht="20.100000000000001" customHeight="1" x14ac:dyDescent="0.3"/>
    <row r="313" ht="20.100000000000001" customHeight="1" x14ac:dyDescent="0.3"/>
    <row r="314" ht="20.100000000000001" customHeight="1" x14ac:dyDescent="0.3"/>
    <row r="315" ht="20.100000000000001" customHeight="1" x14ac:dyDescent="0.3"/>
    <row r="316" ht="20.100000000000001" customHeight="1" x14ac:dyDescent="0.3"/>
    <row r="317" ht="20.100000000000001" customHeight="1" x14ac:dyDescent="0.3"/>
    <row r="318" ht="20.100000000000001" customHeight="1" x14ac:dyDescent="0.3"/>
    <row r="319" ht="20.100000000000001" customHeight="1" x14ac:dyDescent="0.3"/>
    <row r="320" ht="20.100000000000001" customHeight="1" x14ac:dyDescent="0.3"/>
    <row r="321" ht="20.100000000000001" customHeight="1" x14ac:dyDescent="0.3"/>
    <row r="322" ht="20.100000000000001" customHeight="1" x14ac:dyDescent="0.3"/>
    <row r="323" ht="20.100000000000001" customHeight="1" x14ac:dyDescent="0.3"/>
    <row r="324" ht="20.100000000000001" customHeight="1" x14ac:dyDescent="0.3"/>
    <row r="325" ht="20.100000000000001" customHeight="1" x14ac:dyDescent="0.3"/>
    <row r="326" ht="20.100000000000001" customHeight="1" x14ac:dyDescent="0.3"/>
    <row r="327" ht="20.100000000000001" customHeight="1" x14ac:dyDescent="0.3"/>
    <row r="328" ht="20.100000000000001" customHeight="1" x14ac:dyDescent="0.3"/>
    <row r="329" ht="20.100000000000001" customHeight="1" x14ac:dyDescent="0.3"/>
    <row r="330" ht="20.100000000000001" customHeight="1" x14ac:dyDescent="0.3"/>
    <row r="331" ht="20.100000000000001" customHeight="1" x14ac:dyDescent="0.3"/>
    <row r="332" ht="20.100000000000001" customHeight="1" x14ac:dyDescent="0.3"/>
    <row r="333" ht="20.100000000000001" customHeight="1" x14ac:dyDescent="0.3"/>
    <row r="334" ht="20.100000000000001" customHeight="1" x14ac:dyDescent="0.3"/>
    <row r="335" ht="20.100000000000001" customHeight="1" x14ac:dyDescent="0.3"/>
    <row r="336" ht="20.100000000000001" customHeight="1" x14ac:dyDescent="0.3"/>
    <row r="337" ht="20.100000000000001" customHeight="1" x14ac:dyDescent="0.3"/>
    <row r="338" ht="20.100000000000001" customHeight="1" x14ac:dyDescent="0.3"/>
    <row r="339" ht="20.100000000000001" customHeight="1" x14ac:dyDescent="0.3"/>
    <row r="340" ht="20.100000000000001" customHeight="1" x14ac:dyDescent="0.3"/>
    <row r="341" ht="20.100000000000001" customHeight="1" x14ac:dyDescent="0.3"/>
    <row r="342" ht="20.100000000000001" customHeight="1" x14ac:dyDescent="0.3"/>
    <row r="343" ht="20.100000000000001" customHeight="1" x14ac:dyDescent="0.3"/>
    <row r="344" ht="20.100000000000001" customHeight="1" x14ac:dyDescent="0.3"/>
    <row r="345" ht="20.100000000000001" customHeight="1" x14ac:dyDescent="0.3"/>
    <row r="346" ht="20.100000000000001" customHeight="1" x14ac:dyDescent="0.3"/>
    <row r="347" ht="20.100000000000001" customHeight="1" x14ac:dyDescent="0.3"/>
    <row r="348" ht="20.100000000000001" customHeight="1" x14ac:dyDescent="0.3"/>
    <row r="349" ht="20.100000000000001" customHeight="1" x14ac:dyDescent="0.3"/>
    <row r="350" ht="20.100000000000001" customHeight="1" x14ac:dyDescent="0.3"/>
    <row r="351" ht="20.100000000000001" customHeight="1" x14ac:dyDescent="0.3"/>
    <row r="352" ht="20.100000000000001" customHeight="1" x14ac:dyDescent="0.3"/>
    <row r="353" ht="20.100000000000001" customHeight="1" x14ac:dyDescent="0.3"/>
    <row r="354" ht="20.100000000000001" customHeight="1" x14ac:dyDescent="0.3"/>
    <row r="355" ht="20.100000000000001" customHeight="1" x14ac:dyDescent="0.3"/>
    <row r="356" ht="20.100000000000001" customHeight="1" x14ac:dyDescent="0.3"/>
    <row r="357" ht="20.100000000000001" customHeight="1" x14ac:dyDescent="0.3"/>
    <row r="358" ht="20.100000000000001" customHeight="1" x14ac:dyDescent="0.3"/>
    <row r="359" ht="20.100000000000001" customHeight="1" x14ac:dyDescent="0.3"/>
    <row r="360" ht="20.100000000000001" customHeight="1" x14ac:dyDescent="0.3"/>
    <row r="361" ht="20.100000000000001" customHeight="1" x14ac:dyDescent="0.3"/>
    <row r="362" ht="20.100000000000001" customHeight="1" x14ac:dyDescent="0.3"/>
    <row r="363" ht="20.100000000000001" customHeight="1" x14ac:dyDescent="0.3"/>
    <row r="364" ht="20.100000000000001" customHeight="1" x14ac:dyDescent="0.3"/>
    <row r="365" ht="20.100000000000001" customHeight="1" x14ac:dyDescent="0.3"/>
    <row r="366" ht="20.100000000000001" customHeight="1" x14ac:dyDescent="0.3"/>
    <row r="367" ht="20.100000000000001" customHeight="1" x14ac:dyDescent="0.3"/>
    <row r="368" ht="20.100000000000001" customHeight="1" x14ac:dyDescent="0.3"/>
    <row r="369" ht="20.100000000000001" customHeight="1" x14ac:dyDescent="0.3"/>
    <row r="370" ht="20.100000000000001" customHeight="1" x14ac:dyDescent="0.3"/>
    <row r="371" ht="20.100000000000001" customHeight="1" x14ac:dyDescent="0.3"/>
    <row r="372" ht="20.100000000000001" customHeight="1" x14ac:dyDescent="0.3"/>
    <row r="373" ht="20.100000000000001" customHeight="1" x14ac:dyDescent="0.3"/>
    <row r="374" ht="20.100000000000001" customHeight="1" x14ac:dyDescent="0.3"/>
    <row r="375" ht="20.100000000000001" customHeight="1" x14ac:dyDescent="0.3"/>
    <row r="376" ht="20.100000000000001" customHeight="1" x14ac:dyDescent="0.3"/>
    <row r="377" ht="20.100000000000001" customHeight="1" x14ac:dyDescent="0.3"/>
    <row r="378" ht="20.100000000000001" customHeight="1" x14ac:dyDescent="0.3"/>
    <row r="379" ht="20.100000000000001" customHeight="1" x14ac:dyDescent="0.3"/>
    <row r="380" ht="20.100000000000001" customHeight="1" x14ac:dyDescent="0.3"/>
    <row r="381" ht="20.100000000000001" customHeight="1" x14ac:dyDescent="0.3"/>
    <row r="382" ht="20.100000000000001" customHeight="1" x14ac:dyDescent="0.3"/>
    <row r="383" ht="20.100000000000001" customHeight="1" x14ac:dyDescent="0.3"/>
    <row r="384" ht="20.100000000000001" customHeight="1" x14ac:dyDescent="0.3"/>
    <row r="385" ht="20.100000000000001" customHeight="1" x14ac:dyDescent="0.3"/>
    <row r="386" ht="20.100000000000001" customHeight="1" x14ac:dyDescent="0.3"/>
    <row r="387" ht="20.100000000000001" customHeight="1" x14ac:dyDescent="0.3"/>
    <row r="388" ht="20.100000000000001" customHeight="1" x14ac:dyDescent="0.3"/>
    <row r="389" ht="20.100000000000001" customHeight="1" x14ac:dyDescent="0.3"/>
    <row r="390" ht="20.100000000000001" customHeight="1" x14ac:dyDescent="0.3"/>
    <row r="391" ht="20.100000000000001" customHeight="1" x14ac:dyDescent="0.3"/>
    <row r="392" ht="20.100000000000001" customHeight="1" x14ac:dyDescent="0.3"/>
    <row r="393" ht="20.100000000000001" customHeight="1" x14ac:dyDescent="0.3"/>
    <row r="394" ht="20.100000000000001" customHeight="1" x14ac:dyDescent="0.3"/>
    <row r="395" ht="20.100000000000001" customHeight="1" x14ac:dyDescent="0.3"/>
    <row r="396" ht="20.100000000000001" customHeight="1" x14ac:dyDescent="0.3"/>
    <row r="397" ht="20.100000000000001" customHeight="1" x14ac:dyDescent="0.3"/>
    <row r="398" ht="20.100000000000001" customHeight="1" x14ac:dyDescent="0.3"/>
    <row r="399" ht="20.100000000000001" customHeight="1" x14ac:dyDescent="0.3"/>
    <row r="400" ht="20.100000000000001" customHeight="1" x14ac:dyDescent="0.3"/>
    <row r="401" ht="20.100000000000001" customHeight="1" x14ac:dyDescent="0.3"/>
    <row r="402" ht="20.100000000000001" customHeight="1" x14ac:dyDescent="0.3"/>
    <row r="403" ht="20.100000000000001" customHeight="1" x14ac:dyDescent="0.3"/>
    <row r="404" ht="20.100000000000001" customHeight="1" x14ac:dyDescent="0.3"/>
    <row r="405" ht="20.100000000000001" customHeight="1" x14ac:dyDescent="0.3"/>
    <row r="406" ht="20.100000000000001" customHeight="1" x14ac:dyDescent="0.3"/>
    <row r="407" ht="20.100000000000001" customHeight="1" x14ac:dyDescent="0.3"/>
    <row r="408" ht="20.100000000000001" customHeight="1" x14ac:dyDescent="0.3"/>
    <row r="409" ht="20.100000000000001" customHeight="1" x14ac:dyDescent="0.3"/>
    <row r="410" ht="20.100000000000001" customHeight="1" x14ac:dyDescent="0.3"/>
    <row r="411" ht="20.100000000000001" customHeight="1" x14ac:dyDescent="0.3"/>
    <row r="412" ht="20.100000000000001" customHeight="1" x14ac:dyDescent="0.3"/>
    <row r="413" ht="20.100000000000001" customHeight="1" x14ac:dyDescent="0.3"/>
    <row r="414" ht="20.100000000000001" customHeight="1" x14ac:dyDescent="0.3"/>
    <row r="415" ht="20.100000000000001" customHeight="1" x14ac:dyDescent="0.3"/>
    <row r="416" ht="20.100000000000001" customHeight="1" x14ac:dyDescent="0.3"/>
    <row r="417" ht="20.100000000000001" customHeight="1" x14ac:dyDescent="0.3"/>
    <row r="418" ht="20.100000000000001" customHeight="1" x14ac:dyDescent="0.3"/>
    <row r="419" ht="20.100000000000001" customHeight="1" x14ac:dyDescent="0.3"/>
    <row r="420" ht="20.100000000000001" customHeight="1" x14ac:dyDescent="0.3"/>
    <row r="421" ht="20.100000000000001" customHeight="1" x14ac:dyDescent="0.3"/>
    <row r="422" ht="20.100000000000001" customHeight="1" x14ac:dyDescent="0.3"/>
    <row r="423" ht="20.100000000000001" customHeight="1" x14ac:dyDescent="0.3"/>
    <row r="424" ht="20.100000000000001" customHeight="1" x14ac:dyDescent="0.3"/>
    <row r="425" ht="20.100000000000001" customHeight="1" x14ac:dyDescent="0.3"/>
    <row r="426" ht="20.100000000000001" customHeight="1" x14ac:dyDescent="0.3"/>
    <row r="427" ht="20.100000000000001" customHeight="1" x14ac:dyDescent="0.3"/>
    <row r="428" ht="20.100000000000001" customHeight="1" x14ac:dyDescent="0.3"/>
    <row r="429" ht="20.100000000000001" customHeight="1" x14ac:dyDescent="0.3"/>
    <row r="430" ht="20.100000000000001" customHeight="1" x14ac:dyDescent="0.3"/>
    <row r="431" ht="20.100000000000001" customHeight="1" x14ac:dyDescent="0.3"/>
    <row r="432" ht="20.100000000000001" customHeight="1" x14ac:dyDescent="0.3"/>
    <row r="433" ht="20.100000000000001" customHeight="1" x14ac:dyDescent="0.3"/>
    <row r="434" ht="20.100000000000001" customHeight="1" x14ac:dyDescent="0.3"/>
    <row r="435" ht="20.100000000000001" customHeight="1" x14ac:dyDescent="0.3"/>
    <row r="436" ht="20.100000000000001" customHeight="1" x14ac:dyDescent="0.3"/>
    <row r="437" ht="20.100000000000001" customHeight="1" x14ac:dyDescent="0.3"/>
    <row r="438" ht="20.100000000000001" customHeight="1" x14ac:dyDescent="0.3"/>
    <row r="439" ht="20.100000000000001" customHeight="1" x14ac:dyDescent="0.3"/>
    <row r="440" ht="20.100000000000001" customHeight="1" x14ac:dyDescent="0.3"/>
    <row r="441" ht="20.100000000000001" customHeight="1" x14ac:dyDescent="0.3"/>
    <row r="442" ht="20.100000000000001" customHeight="1" x14ac:dyDescent="0.3"/>
    <row r="443" ht="20.100000000000001" customHeight="1" x14ac:dyDescent="0.3"/>
    <row r="444" ht="20.100000000000001" customHeight="1" x14ac:dyDescent="0.3"/>
    <row r="445" ht="20.100000000000001" customHeight="1" x14ac:dyDescent="0.3"/>
    <row r="446" ht="20.100000000000001" customHeight="1" x14ac:dyDescent="0.3"/>
    <row r="447" ht="20.100000000000001" customHeight="1" x14ac:dyDescent="0.3"/>
    <row r="448" ht="20.100000000000001" customHeight="1" x14ac:dyDescent="0.3"/>
    <row r="449" ht="20.100000000000001" customHeight="1" x14ac:dyDescent="0.3"/>
    <row r="450" ht="20.100000000000001" customHeight="1" x14ac:dyDescent="0.3"/>
    <row r="451" ht="20.100000000000001" customHeight="1" x14ac:dyDescent="0.3"/>
    <row r="452" ht="20.100000000000001" customHeight="1" x14ac:dyDescent="0.3"/>
    <row r="453" ht="20.100000000000001" customHeight="1" x14ac:dyDescent="0.3"/>
    <row r="454" ht="20.100000000000001" customHeight="1" x14ac:dyDescent="0.3"/>
    <row r="455" ht="20.100000000000001" customHeight="1" x14ac:dyDescent="0.3"/>
    <row r="456" ht="20.100000000000001" customHeight="1" x14ac:dyDescent="0.3"/>
    <row r="457" ht="20.100000000000001" customHeight="1" x14ac:dyDescent="0.3"/>
    <row r="458" ht="20.100000000000001" customHeight="1" x14ac:dyDescent="0.3"/>
    <row r="459" ht="20.100000000000001" customHeight="1" x14ac:dyDescent="0.3"/>
    <row r="460" ht="20.100000000000001" customHeight="1" x14ac:dyDescent="0.3"/>
    <row r="461" ht="20.100000000000001" customHeight="1" x14ac:dyDescent="0.3"/>
    <row r="462" ht="20.100000000000001" customHeight="1" x14ac:dyDescent="0.3"/>
    <row r="463" ht="20.100000000000001" customHeight="1" x14ac:dyDescent="0.3"/>
    <row r="464" ht="20.100000000000001" customHeight="1" x14ac:dyDescent="0.3"/>
    <row r="465" ht="20.100000000000001" customHeight="1" x14ac:dyDescent="0.3"/>
    <row r="466" ht="20.100000000000001" customHeight="1" x14ac:dyDescent="0.3"/>
    <row r="467" ht="20.100000000000001" customHeight="1" x14ac:dyDescent="0.3"/>
    <row r="468" ht="20.100000000000001" customHeight="1" x14ac:dyDescent="0.3"/>
    <row r="469" ht="20.100000000000001" customHeight="1" x14ac:dyDescent="0.3"/>
    <row r="470" ht="20.100000000000001" customHeight="1" x14ac:dyDescent="0.3"/>
    <row r="471" ht="20.100000000000001" customHeight="1" x14ac:dyDescent="0.3"/>
    <row r="472" ht="20.100000000000001" customHeight="1" x14ac:dyDescent="0.3"/>
    <row r="473" ht="20.100000000000001" customHeight="1" x14ac:dyDescent="0.3"/>
    <row r="474" ht="20.100000000000001" customHeight="1" x14ac:dyDescent="0.3"/>
    <row r="475" ht="20.100000000000001" customHeight="1" x14ac:dyDescent="0.3"/>
    <row r="476" ht="20.100000000000001" customHeight="1" x14ac:dyDescent="0.3"/>
    <row r="477" ht="20.100000000000001" customHeight="1" x14ac:dyDescent="0.3"/>
    <row r="478" ht="20.100000000000001" customHeight="1" x14ac:dyDescent="0.3"/>
    <row r="479" ht="20.100000000000001" customHeight="1" x14ac:dyDescent="0.3"/>
    <row r="480" ht="20.100000000000001" customHeight="1" x14ac:dyDescent="0.3"/>
    <row r="481" ht="20.100000000000001" customHeight="1" x14ac:dyDescent="0.3"/>
    <row r="482" ht="20.100000000000001" customHeight="1" x14ac:dyDescent="0.3"/>
    <row r="483" ht="20.100000000000001" customHeight="1" x14ac:dyDescent="0.3"/>
    <row r="484" ht="20.100000000000001" customHeight="1" x14ac:dyDescent="0.3"/>
    <row r="485" ht="20.100000000000001" customHeight="1" x14ac:dyDescent="0.3"/>
    <row r="486" ht="20.100000000000001" customHeight="1" x14ac:dyDescent="0.3"/>
    <row r="487" ht="20.100000000000001" customHeight="1" x14ac:dyDescent="0.3"/>
    <row r="488" ht="20.100000000000001" customHeight="1" x14ac:dyDescent="0.3"/>
    <row r="489" ht="20.100000000000001" customHeight="1" x14ac:dyDescent="0.3"/>
    <row r="490" ht="20.100000000000001" customHeight="1" x14ac:dyDescent="0.3"/>
    <row r="491" ht="20.100000000000001" customHeight="1" x14ac:dyDescent="0.3"/>
    <row r="492" ht="20.100000000000001" customHeight="1" x14ac:dyDescent="0.3"/>
    <row r="493" ht="20.100000000000001" customHeight="1" x14ac:dyDescent="0.3"/>
    <row r="494" ht="20.100000000000001" customHeight="1" x14ac:dyDescent="0.3"/>
    <row r="495" ht="20.100000000000001" customHeight="1" x14ac:dyDescent="0.3"/>
    <row r="496" ht="20.100000000000001" customHeight="1" x14ac:dyDescent="0.3"/>
    <row r="497" ht="20.100000000000001" customHeight="1" x14ac:dyDescent="0.3"/>
    <row r="498" ht="20.100000000000001" customHeight="1" x14ac:dyDescent="0.3"/>
    <row r="499" ht="20.100000000000001" customHeight="1" x14ac:dyDescent="0.3"/>
    <row r="500" ht="20.100000000000001" customHeight="1" x14ac:dyDescent="0.3"/>
    <row r="501" ht="20.100000000000001" customHeight="1" x14ac:dyDescent="0.3"/>
    <row r="502" ht="20.100000000000001" customHeight="1" x14ac:dyDescent="0.3"/>
    <row r="503" ht="20.100000000000001" customHeight="1" x14ac:dyDescent="0.3"/>
    <row r="504" ht="20.100000000000001" customHeight="1" x14ac:dyDescent="0.3"/>
    <row r="505" ht="20.100000000000001" customHeight="1" x14ac:dyDescent="0.3"/>
    <row r="506" ht="20.100000000000001" customHeight="1" x14ac:dyDescent="0.3"/>
    <row r="507" ht="20.100000000000001" customHeight="1" x14ac:dyDescent="0.3"/>
    <row r="508" ht="20.100000000000001" customHeight="1" x14ac:dyDescent="0.3"/>
    <row r="509" ht="20.100000000000001" customHeight="1" x14ac:dyDescent="0.3"/>
    <row r="510" ht="20.100000000000001" customHeight="1" x14ac:dyDescent="0.3"/>
    <row r="511" ht="20.100000000000001" customHeight="1" x14ac:dyDescent="0.3"/>
    <row r="512" ht="20.100000000000001" customHeight="1" x14ac:dyDescent="0.3"/>
    <row r="513" ht="20.100000000000001" customHeight="1" x14ac:dyDescent="0.3"/>
    <row r="514" ht="20.100000000000001" customHeight="1" x14ac:dyDescent="0.3"/>
    <row r="515" ht="20.100000000000001" customHeight="1" x14ac:dyDescent="0.3"/>
    <row r="516" ht="20.100000000000001" customHeight="1" x14ac:dyDescent="0.3"/>
    <row r="517" ht="20.100000000000001" customHeight="1" x14ac:dyDescent="0.3"/>
    <row r="518" ht="20.100000000000001" customHeight="1" x14ac:dyDescent="0.3"/>
    <row r="519" ht="20.100000000000001" customHeight="1" x14ac:dyDescent="0.3"/>
    <row r="520" ht="20.100000000000001" customHeight="1" x14ac:dyDescent="0.3"/>
    <row r="521" ht="20.100000000000001" customHeight="1" x14ac:dyDescent="0.3"/>
    <row r="522" ht="20.100000000000001" customHeight="1" x14ac:dyDescent="0.3"/>
    <row r="523" ht="20.100000000000001" customHeight="1" x14ac:dyDescent="0.3"/>
    <row r="524" ht="20.100000000000001" customHeight="1" x14ac:dyDescent="0.3"/>
    <row r="525" ht="20.100000000000001" customHeight="1" x14ac:dyDescent="0.3"/>
    <row r="526" ht="20.100000000000001" customHeight="1" x14ac:dyDescent="0.3"/>
    <row r="527" ht="20.100000000000001" customHeight="1" x14ac:dyDescent="0.3"/>
    <row r="528" ht="20.100000000000001" customHeight="1" x14ac:dyDescent="0.3"/>
    <row r="529" ht="20.100000000000001" customHeight="1" x14ac:dyDescent="0.3"/>
    <row r="530" ht="20.100000000000001" customHeight="1" x14ac:dyDescent="0.3"/>
    <row r="531" ht="20.100000000000001" customHeight="1" x14ac:dyDescent="0.3"/>
    <row r="532" ht="20.100000000000001" customHeight="1" x14ac:dyDescent="0.3"/>
    <row r="533" ht="20.100000000000001" customHeight="1" x14ac:dyDescent="0.3"/>
    <row r="534" ht="20.100000000000001" customHeight="1" x14ac:dyDescent="0.3"/>
    <row r="535" ht="20.100000000000001" customHeight="1" x14ac:dyDescent="0.3"/>
    <row r="536" ht="20.100000000000001" customHeight="1" x14ac:dyDescent="0.3"/>
    <row r="537" ht="20.100000000000001" customHeight="1" x14ac:dyDescent="0.3"/>
    <row r="538" ht="20.100000000000001" customHeight="1" x14ac:dyDescent="0.3"/>
    <row r="539" ht="20.100000000000001" customHeight="1" x14ac:dyDescent="0.3"/>
    <row r="540" ht="20.100000000000001" customHeight="1" x14ac:dyDescent="0.3"/>
    <row r="541" ht="20.100000000000001" customHeight="1" x14ac:dyDescent="0.3"/>
    <row r="542" ht="20.100000000000001" customHeight="1" x14ac:dyDescent="0.3"/>
    <row r="543" ht="20.100000000000001" customHeight="1" x14ac:dyDescent="0.3"/>
    <row r="544" ht="20.100000000000001" customHeight="1" x14ac:dyDescent="0.3"/>
    <row r="545" ht="20.100000000000001" customHeight="1" x14ac:dyDescent="0.3"/>
    <row r="546" ht="20.100000000000001" customHeight="1" x14ac:dyDescent="0.3"/>
    <row r="547" ht="20.100000000000001" customHeight="1" x14ac:dyDescent="0.3"/>
    <row r="548" ht="20.100000000000001" customHeight="1" x14ac:dyDescent="0.3"/>
    <row r="549" ht="20.100000000000001" customHeight="1" x14ac:dyDescent="0.3"/>
    <row r="550" ht="20.100000000000001" customHeight="1" x14ac:dyDescent="0.3"/>
    <row r="551" ht="20.100000000000001" customHeight="1" x14ac:dyDescent="0.3"/>
    <row r="552" ht="20.100000000000001" customHeight="1" x14ac:dyDescent="0.3"/>
    <row r="553" ht="20.100000000000001" customHeight="1" x14ac:dyDescent="0.3"/>
    <row r="554" ht="20.100000000000001" customHeight="1" x14ac:dyDescent="0.3"/>
    <row r="555" ht="20.100000000000001" customHeight="1" x14ac:dyDescent="0.3"/>
    <row r="556" ht="20.100000000000001" customHeight="1" x14ac:dyDescent="0.3"/>
    <row r="557" ht="20.100000000000001" customHeight="1" x14ac:dyDescent="0.3"/>
    <row r="558" ht="20.100000000000001" customHeight="1" x14ac:dyDescent="0.3"/>
    <row r="559" ht="20.100000000000001" customHeight="1" x14ac:dyDescent="0.3"/>
    <row r="560" ht="20.100000000000001" customHeight="1" x14ac:dyDescent="0.3"/>
    <row r="561" ht="20.100000000000001" customHeight="1" x14ac:dyDescent="0.3"/>
    <row r="562" ht="20.100000000000001" customHeight="1" x14ac:dyDescent="0.3"/>
    <row r="563" ht="20.100000000000001" customHeight="1" x14ac:dyDescent="0.3"/>
    <row r="564" ht="20.100000000000001" customHeight="1" x14ac:dyDescent="0.3"/>
    <row r="565" ht="20.100000000000001" customHeight="1" x14ac:dyDescent="0.3"/>
    <row r="566" ht="20.100000000000001" customHeight="1" x14ac:dyDescent="0.3"/>
    <row r="567" ht="20.100000000000001" customHeight="1" x14ac:dyDescent="0.3"/>
    <row r="568" ht="20.100000000000001" customHeight="1" x14ac:dyDescent="0.3"/>
    <row r="569" ht="20.100000000000001" customHeight="1" x14ac:dyDescent="0.3"/>
    <row r="570" ht="20.100000000000001" customHeight="1" x14ac:dyDescent="0.3"/>
    <row r="571" ht="20.100000000000001" customHeight="1" x14ac:dyDescent="0.3"/>
    <row r="572" ht="20.100000000000001" customHeight="1" x14ac:dyDescent="0.3"/>
    <row r="573" ht="20.100000000000001" customHeight="1" x14ac:dyDescent="0.3"/>
    <row r="574" ht="20.100000000000001" customHeight="1" x14ac:dyDescent="0.3"/>
    <row r="575" ht="20.100000000000001" customHeight="1" x14ac:dyDescent="0.3"/>
    <row r="576" ht="20.100000000000001" customHeight="1" x14ac:dyDescent="0.3"/>
    <row r="577" ht="20.100000000000001" customHeight="1" x14ac:dyDescent="0.3"/>
    <row r="578" ht="20.100000000000001" customHeight="1" x14ac:dyDescent="0.3"/>
    <row r="579" ht="20.100000000000001" customHeight="1" x14ac:dyDescent="0.3"/>
    <row r="580" ht="20.100000000000001" customHeight="1" x14ac:dyDescent="0.3"/>
    <row r="581" ht="20.100000000000001" customHeight="1" x14ac:dyDescent="0.3"/>
    <row r="582" ht="20.100000000000001" customHeight="1" x14ac:dyDescent="0.3"/>
    <row r="583" ht="20.100000000000001" customHeight="1" x14ac:dyDescent="0.3"/>
    <row r="584" ht="20.100000000000001" customHeight="1" x14ac:dyDescent="0.3"/>
    <row r="585" ht="20.100000000000001" customHeight="1" x14ac:dyDescent="0.3"/>
    <row r="586" ht="20.100000000000001" customHeight="1" x14ac:dyDescent="0.3"/>
    <row r="587" ht="20.100000000000001" customHeight="1" x14ac:dyDescent="0.3"/>
    <row r="588" ht="20.100000000000001" customHeight="1" x14ac:dyDescent="0.3"/>
    <row r="589" ht="20.100000000000001" customHeight="1" x14ac:dyDescent="0.3"/>
    <row r="590" ht="20.100000000000001" customHeight="1" x14ac:dyDescent="0.3"/>
    <row r="591" ht="20.100000000000001" customHeight="1" x14ac:dyDescent="0.3"/>
    <row r="592" ht="20.100000000000001" customHeight="1" x14ac:dyDescent="0.3"/>
    <row r="593" ht="20.100000000000001" customHeight="1" x14ac:dyDescent="0.3"/>
    <row r="594" ht="20.100000000000001" customHeight="1" x14ac:dyDescent="0.3"/>
    <row r="595" ht="20.100000000000001" customHeight="1" x14ac:dyDescent="0.3"/>
    <row r="596" ht="20.100000000000001" customHeight="1" x14ac:dyDescent="0.3"/>
    <row r="597" ht="20.100000000000001" customHeight="1" x14ac:dyDescent="0.3"/>
    <row r="598" ht="20.100000000000001" customHeight="1" x14ac:dyDescent="0.3"/>
    <row r="599" ht="20.100000000000001" customHeight="1" x14ac:dyDescent="0.3"/>
    <row r="600" ht="20.100000000000001" customHeight="1" x14ac:dyDescent="0.3"/>
    <row r="601" ht="20.100000000000001" customHeight="1" x14ac:dyDescent="0.3"/>
    <row r="602" ht="20.100000000000001" customHeight="1" x14ac:dyDescent="0.3"/>
    <row r="603" ht="20.100000000000001" customHeight="1" x14ac:dyDescent="0.3"/>
    <row r="604" ht="20.100000000000001" customHeight="1" x14ac:dyDescent="0.3"/>
    <row r="605" ht="20.100000000000001" customHeight="1" x14ac:dyDescent="0.3"/>
    <row r="606" ht="20.100000000000001" customHeight="1" x14ac:dyDescent="0.3"/>
    <row r="607" ht="20.100000000000001" customHeight="1" x14ac:dyDescent="0.3"/>
    <row r="608" ht="20.100000000000001" customHeight="1" x14ac:dyDescent="0.3"/>
    <row r="609" ht="20.100000000000001" customHeight="1" x14ac:dyDescent="0.3"/>
    <row r="610" ht="20.100000000000001" customHeight="1" x14ac:dyDescent="0.3"/>
    <row r="611" ht="20.100000000000001" customHeight="1" x14ac:dyDescent="0.3"/>
    <row r="612" ht="20.100000000000001" customHeight="1" x14ac:dyDescent="0.3"/>
    <row r="613" ht="20.100000000000001" customHeight="1" x14ac:dyDescent="0.3"/>
    <row r="614" ht="20.100000000000001" customHeight="1" x14ac:dyDescent="0.3"/>
    <row r="615" ht="20.100000000000001" customHeight="1" x14ac:dyDescent="0.3"/>
    <row r="616" ht="20.100000000000001" customHeight="1" x14ac:dyDescent="0.3"/>
    <row r="617" ht="20.100000000000001" customHeight="1" x14ac:dyDescent="0.3"/>
    <row r="618" ht="20.100000000000001" customHeight="1" x14ac:dyDescent="0.3"/>
    <row r="619" ht="20.100000000000001" customHeight="1" x14ac:dyDescent="0.3"/>
    <row r="620" ht="20.100000000000001" customHeight="1" x14ac:dyDescent="0.3"/>
    <row r="621" ht="20.100000000000001" customHeight="1" x14ac:dyDescent="0.3"/>
    <row r="622" ht="20.100000000000001" customHeight="1" x14ac:dyDescent="0.3"/>
    <row r="623" ht="20.100000000000001" customHeight="1" x14ac:dyDescent="0.3"/>
    <row r="624" ht="20.100000000000001" customHeight="1" x14ac:dyDescent="0.3"/>
    <row r="625" ht="20.100000000000001" customHeight="1" x14ac:dyDescent="0.3"/>
    <row r="626" ht="20.100000000000001" customHeight="1" x14ac:dyDescent="0.3"/>
    <row r="627" ht="20.100000000000001" customHeight="1" x14ac:dyDescent="0.3"/>
    <row r="628" ht="20.100000000000001" customHeight="1" x14ac:dyDescent="0.3"/>
    <row r="629" ht="20.100000000000001" customHeight="1" x14ac:dyDescent="0.3"/>
    <row r="630" ht="20.100000000000001" customHeight="1" x14ac:dyDescent="0.3"/>
    <row r="631" ht="20.100000000000001" customHeight="1" x14ac:dyDescent="0.3"/>
    <row r="632" ht="20.100000000000001" customHeight="1" x14ac:dyDescent="0.3"/>
    <row r="633" ht="20.100000000000001" customHeight="1" x14ac:dyDescent="0.3"/>
    <row r="634" ht="20.100000000000001" customHeight="1" x14ac:dyDescent="0.3"/>
    <row r="635" ht="20.100000000000001" customHeight="1" x14ac:dyDescent="0.3"/>
    <row r="636" ht="20.100000000000001" customHeight="1" x14ac:dyDescent="0.3"/>
    <row r="637" ht="20.100000000000001" customHeight="1" x14ac:dyDescent="0.3"/>
    <row r="638" ht="20.100000000000001" customHeight="1" x14ac:dyDescent="0.3"/>
    <row r="639" ht="20.100000000000001" customHeight="1" x14ac:dyDescent="0.3"/>
    <row r="640" ht="20.100000000000001" customHeight="1" x14ac:dyDescent="0.3"/>
    <row r="641" ht="20.100000000000001" customHeight="1" x14ac:dyDescent="0.3"/>
    <row r="642" ht="20.100000000000001" customHeight="1" x14ac:dyDescent="0.3"/>
    <row r="643" ht="20.100000000000001" customHeight="1" x14ac:dyDescent="0.3"/>
    <row r="644" ht="20.100000000000001" customHeight="1" x14ac:dyDescent="0.3"/>
    <row r="645" ht="20.100000000000001" customHeight="1" x14ac:dyDescent="0.3"/>
    <row r="646" ht="20.100000000000001" customHeight="1" x14ac:dyDescent="0.3"/>
    <row r="647" ht="20.100000000000001" customHeight="1" x14ac:dyDescent="0.3"/>
    <row r="648" ht="20.100000000000001" customHeight="1" x14ac:dyDescent="0.3"/>
    <row r="649" ht="20.100000000000001" customHeight="1" x14ac:dyDescent="0.3"/>
    <row r="650" ht="20.100000000000001" customHeight="1" x14ac:dyDescent="0.3"/>
    <row r="651" ht="20.100000000000001" customHeight="1" x14ac:dyDescent="0.3"/>
    <row r="652" ht="20.100000000000001" customHeight="1" x14ac:dyDescent="0.3"/>
    <row r="653" ht="20.100000000000001" customHeight="1" x14ac:dyDescent="0.3"/>
    <row r="654" ht="20.100000000000001" customHeight="1" x14ac:dyDescent="0.3"/>
    <row r="655" ht="20.100000000000001" customHeight="1" x14ac:dyDescent="0.3"/>
    <row r="656" ht="20.100000000000001" customHeight="1" x14ac:dyDescent="0.3"/>
    <row r="657" ht="20.100000000000001" customHeight="1" x14ac:dyDescent="0.3"/>
    <row r="658" ht="20.100000000000001" customHeight="1" x14ac:dyDescent="0.3"/>
    <row r="659" ht="20.100000000000001" customHeight="1" x14ac:dyDescent="0.3"/>
    <row r="660" ht="20.100000000000001" customHeight="1" x14ac:dyDescent="0.3"/>
    <row r="661" ht="20.100000000000001" customHeight="1" x14ac:dyDescent="0.3"/>
    <row r="662" ht="20.100000000000001" customHeight="1" x14ac:dyDescent="0.3"/>
    <row r="663" ht="20.100000000000001" customHeight="1" x14ac:dyDescent="0.3"/>
    <row r="664" ht="20.100000000000001" customHeight="1" x14ac:dyDescent="0.3"/>
    <row r="665" ht="20.100000000000001" customHeight="1" x14ac:dyDescent="0.3"/>
    <row r="666" ht="20.100000000000001" customHeight="1" x14ac:dyDescent="0.3"/>
    <row r="667" ht="20.100000000000001" customHeight="1" x14ac:dyDescent="0.3"/>
    <row r="668" ht="20.100000000000001" customHeight="1" x14ac:dyDescent="0.3"/>
    <row r="669" ht="20.100000000000001" customHeight="1" x14ac:dyDescent="0.3"/>
    <row r="670" ht="20.100000000000001" customHeight="1" x14ac:dyDescent="0.3"/>
    <row r="671" ht="20.100000000000001" customHeight="1" x14ac:dyDescent="0.3"/>
    <row r="672" ht="20.100000000000001" customHeight="1" x14ac:dyDescent="0.3"/>
    <row r="673" ht="20.100000000000001" customHeight="1" x14ac:dyDescent="0.3"/>
    <row r="674" ht="20.100000000000001" customHeight="1" x14ac:dyDescent="0.3"/>
    <row r="675" ht="20.100000000000001" customHeight="1" x14ac:dyDescent="0.3"/>
    <row r="676" ht="20.100000000000001" customHeight="1" x14ac:dyDescent="0.3"/>
    <row r="677" ht="20.100000000000001" customHeight="1" x14ac:dyDescent="0.3"/>
    <row r="678" ht="20.100000000000001" customHeight="1" x14ac:dyDescent="0.3"/>
    <row r="679" ht="20.100000000000001" customHeight="1" x14ac:dyDescent="0.3"/>
    <row r="680" ht="20.100000000000001" customHeight="1" x14ac:dyDescent="0.3"/>
    <row r="681" ht="20.100000000000001" customHeight="1" x14ac:dyDescent="0.3"/>
    <row r="682" ht="20.100000000000001" customHeight="1" x14ac:dyDescent="0.3"/>
    <row r="683" ht="20.100000000000001" customHeight="1" x14ac:dyDescent="0.3"/>
    <row r="684" ht="20.100000000000001" customHeight="1" x14ac:dyDescent="0.3"/>
    <row r="685" ht="20.100000000000001" customHeight="1" x14ac:dyDescent="0.3"/>
    <row r="686" ht="20.100000000000001" customHeight="1" x14ac:dyDescent="0.3"/>
    <row r="687" ht="20.100000000000001" customHeight="1" x14ac:dyDescent="0.3"/>
    <row r="688" ht="20.100000000000001" customHeight="1" x14ac:dyDescent="0.3"/>
    <row r="689" ht="20.100000000000001" customHeight="1" x14ac:dyDescent="0.3"/>
    <row r="690" ht="20.100000000000001" customHeight="1" x14ac:dyDescent="0.3"/>
    <row r="691" ht="20.100000000000001" customHeight="1" x14ac:dyDescent="0.3"/>
    <row r="692" ht="20.100000000000001" customHeight="1" x14ac:dyDescent="0.3"/>
    <row r="693" ht="20.100000000000001" customHeight="1" x14ac:dyDescent="0.3"/>
    <row r="694" ht="20.100000000000001" customHeight="1" x14ac:dyDescent="0.3"/>
    <row r="695" ht="20.100000000000001" customHeight="1" x14ac:dyDescent="0.3"/>
    <row r="696" ht="20.100000000000001" customHeight="1" x14ac:dyDescent="0.3"/>
    <row r="697" ht="20.100000000000001" customHeight="1" x14ac:dyDescent="0.3"/>
    <row r="698" ht="20.100000000000001" customHeight="1" x14ac:dyDescent="0.3"/>
    <row r="699" ht="20.100000000000001" customHeight="1" x14ac:dyDescent="0.3"/>
    <row r="700" ht="20.100000000000001" customHeight="1" x14ac:dyDescent="0.3"/>
    <row r="701" ht="20.100000000000001" customHeight="1" x14ac:dyDescent="0.3"/>
    <row r="702" ht="20.100000000000001" customHeight="1" x14ac:dyDescent="0.3"/>
    <row r="703" ht="20.100000000000001" customHeight="1" x14ac:dyDescent="0.3"/>
    <row r="704" ht="20.100000000000001" customHeight="1" x14ac:dyDescent="0.3"/>
    <row r="705" ht="20.100000000000001" customHeight="1" x14ac:dyDescent="0.3"/>
    <row r="706" ht="20.100000000000001" customHeight="1" x14ac:dyDescent="0.3"/>
    <row r="707" ht="20.100000000000001" customHeight="1" x14ac:dyDescent="0.3"/>
    <row r="708" ht="20.100000000000001" customHeight="1" x14ac:dyDescent="0.3"/>
    <row r="709" ht="20.100000000000001" customHeight="1" x14ac:dyDescent="0.3"/>
    <row r="710" ht="20.100000000000001" customHeight="1" x14ac:dyDescent="0.3"/>
    <row r="711" ht="20.100000000000001" customHeight="1" x14ac:dyDescent="0.3"/>
    <row r="712" ht="20.100000000000001" customHeight="1" x14ac:dyDescent="0.3"/>
    <row r="713" ht="20.100000000000001" customHeight="1" x14ac:dyDescent="0.3"/>
    <row r="714" ht="20.100000000000001" customHeight="1" x14ac:dyDescent="0.3"/>
    <row r="715" ht="20.100000000000001" customHeight="1" x14ac:dyDescent="0.3"/>
    <row r="716" ht="20.100000000000001" customHeight="1" x14ac:dyDescent="0.3"/>
    <row r="717" ht="20.100000000000001" customHeight="1" x14ac:dyDescent="0.3"/>
    <row r="718" ht="20.100000000000001" customHeight="1" x14ac:dyDescent="0.3"/>
    <row r="719" ht="20.100000000000001" customHeight="1" x14ac:dyDescent="0.3"/>
    <row r="720" ht="20.100000000000001" customHeight="1" x14ac:dyDescent="0.3"/>
    <row r="721" ht="20.100000000000001" customHeight="1" x14ac:dyDescent="0.3"/>
    <row r="722" ht="20.100000000000001" customHeight="1" x14ac:dyDescent="0.3"/>
    <row r="723" ht="20.100000000000001" customHeight="1" x14ac:dyDescent="0.3"/>
    <row r="724" ht="20.100000000000001" customHeight="1" x14ac:dyDescent="0.3"/>
    <row r="725" ht="20.100000000000001" customHeight="1" x14ac:dyDescent="0.3"/>
    <row r="726" ht="20.100000000000001" customHeight="1" x14ac:dyDescent="0.3"/>
    <row r="727" ht="20.100000000000001" customHeight="1" x14ac:dyDescent="0.3"/>
    <row r="728" ht="20.100000000000001" customHeight="1" x14ac:dyDescent="0.3"/>
    <row r="729" ht="20.100000000000001" customHeight="1" x14ac:dyDescent="0.3"/>
    <row r="730" ht="20.100000000000001" customHeight="1" x14ac:dyDescent="0.3"/>
    <row r="731" ht="20.100000000000001" customHeight="1" x14ac:dyDescent="0.3"/>
    <row r="732" ht="20.100000000000001" customHeight="1" x14ac:dyDescent="0.3"/>
    <row r="733" ht="20.100000000000001" customHeight="1" x14ac:dyDescent="0.3"/>
    <row r="734" ht="20.100000000000001" customHeight="1" x14ac:dyDescent="0.3"/>
    <row r="735" ht="20.100000000000001" customHeight="1" x14ac:dyDescent="0.3"/>
    <row r="736" ht="20.100000000000001" customHeight="1" x14ac:dyDescent="0.3"/>
    <row r="737" ht="20.100000000000001" customHeight="1" x14ac:dyDescent="0.3"/>
    <row r="738" ht="20.100000000000001" customHeight="1" x14ac:dyDescent="0.3"/>
    <row r="739" ht="20.100000000000001" customHeight="1" x14ac:dyDescent="0.3"/>
    <row r="740" ht="20.100000000000001" customHeight="1" x14ac:dyDescent="0.3"/>
    <row r="741" ht="20.100000000000001" customHeight="1" x14ac:dyDescent="0.3"/>
    <row r="742" ht="20.100000000000001" customHeight="1" x14ac:dyDescent="0.3"/>
    <row r="743" ht="20.100000000000001" customHeight="1" x14ac:dyDescent="0.3"/>
    <row r="744" ht="20.100000000000001" customHeight="1" x14ac:dyDescent="0.3"/>
    <row r="745" ht="20.100000000000001" customHeight="1" x14ac:dyDescent="0.3"/>
    <row r="746" ht="20.100000000000001" customHeight="1" x14ac:dyDescent="0.3"/>
    <row r="747" ht="20.100000000000001" customHeight="1" x14ac:dyDescent="0.3"/>
    <row r="748" ht="20.100000000000001" customHeight="1" x14ac:dyDescent="0.3"/>
    <row r="749" ht="20.100000000000001" customHeight="1" x14ac:dyDescent="0.3"/>
    <row r="750" ht="20.100000000000001" customHeight="1" x14ac:dyDescent="0.3"/>
    <row r="751" ht="20.100000000000001" customHeight="1" x14ac:dyDescent="0.3"/>
    <row r="752" ht="20.100000000000001" customHeight="1" x14ac:dyDescent="0.3"/>
    <row r="753" ht="20.100000000000001" customHeight="1" x14ac:dyDescent="0.3"/>
    <row r="754" ht="20.100000000000001" customHeight="1" x14ac:dyDescent="0.3"/>
    <row r="755" ht="20.100000000000001" customHeight="1" x14ac:dyDescent="0.3"/>
    <row r="756" ht="20.100000000000001" customHeight="1" x14ac:dyDescent="0.3"/>
    <row r="757" ht="20.100000000000001" customHeight="1" x14ac:dyDescent="0.3"/>
    <row r="758" ht="20.100000000000001" customHeight="1" x14ac:dyDescent="0.3"/>
    <row r="759" ht="20.100000000000001" customHeight="1" x14ac:dyDescent="0.3"/>
    <row r="760" ht="20.100000000000001" customHeight="1" x14ac:dyDescent="0.3"/>
    <row r="761" ht="20.100000000000001" customHeight="1" x14ac:dyDescent="0.3"/>
    <row r="762" ht="20.100000000000001" customHeight="1" x14ac:dyDescent="0.3"/>
    <row r="763" ht="20.100000000000001" customHeight="1" x14ac:dyDescent="0.3"/>
    <row r="764" ht="20.100000000000001" customHeight="1" x14ac:dyDescent="0.3"/>
    <row r="765" ht="20.100000000000001" customHeight="1" x14ac:dyDescent="0.3"/>
    <row r="766" ht="20.100000000000001" customHeight="1" x14ac:dyDescent="0.3"/>
    <row r="767" ht="20.100000000000001" customHeight="1" x14ac:dyDescent="0.3"/>
    <row r="768" ht="20.100000000000001" customHeight="1" x14ac:dyDescent="0.3"/>
    <row r="769" ht="20.100000000000001" customHeight="1" x14ac:dyDescent="0.3"/>
    <row r="770" ht="20.100000000000001" customHeight="1" x14ac:dyDescent="0.3"/>
    <row r="771" ht="20.100000000000001" customHeight="1" x14ac:dyDescent="0.3"/>
    <row r="772" ht="20.100000000000001" customHeight="1" x14ac:dyDescent="0.3"/>
    <row r="773" ht="20.100000000000001" customHeight="1" x14ac:dyDescent="0.3"/>
    <row r="774" ht="20.100000000000001" customHeight="1" x14ac:dyDescent="0.3"/>
    <row r="775" ht="20.100000000000001" customHeight="1" x14ac:dyDescent="0.3"/>
    <row r="776" ht="20.100000000000001" customHeight="1" x14ac:dyDescent="0.3"/>
    <row r="777" ht="20.100000000000001" customHeight="1" x14ac:dyDescent="0.3"/>
    <row r="778" ht="20.100000000000001" customHeight="1" x14ac:dyDescent="0.3"/>
    <row r="779" ht="20.100000000000001" customHeight="1" x14ac:dyDescent="0.3"/>
    <row r="780" ht="20.100000000000001" customHeight="1" x14ac:dyDescent="0.3"/>
    <row r="781" ht="20.100000000000001" customHeight="1" x14ac:dyDescent="0.3"/>
    <row r="782" ht="20.100000000000001" customHeight="1" x14ac:dyDescent="0.3"/>
    <row r="783" ht="20.100000000000001" customHeight="1" x14ac:dyDescent="0.3"/>
    <row r="784" ht="20.100000000000001" customHeight="1" x14ac:dyDescent="0.3"/>
    <row r="785" ht="20.100000000000001" customHeight="1" x14ac:dyDescent="0.3"/>
    <row r="786" ht="20.100000000000001" customHeight="1" x14ac:dyDescent="0.3"/>
    <row r="787" ht="20.100000000000001" customHeight="1" x14ac:dyDescent="0.3"/>
    <row r="788" ht="20.100000000000001" customHeight="1" x14ac:dyDescent="0.3"/>
    <row r="789" ht="20.100000000000001" customHeight="1" x14ac:dyDescent="0.3"/>
    <row r="790" ht="20.100000000000001" customHeight="1" x14ac:dyDescent="0.3"/>
    <row r="791" ht="20.100000000000001" customHeight="1" x14ac:dyDescent="0.3"/>
    <row r="792" ht="20.100000000000001" customHeight="1" x14ac:dyDescent="0.3"/>
    <row r="793" ht="20.100000000000001" customHeight="1" x14ac:dyDescent="0.3"/>
    <row r="794" ht="20.100000000000001" customHeight="1" x14ac:dyDescent="0.3"/>
    <row r="795" ht="20.100000000000001" customHeight="1" x14ac:dyDescent="0.3"/>
    <row r="796" ht="20.100000000000001" customHeight="1" x14ac:dyDescent="0.3"/>
    <row r="797" ht="20.100000000000001" customHeight="1" x14ac:dyDescent="0.3"/>
    <row r="798" ht="20.100000000000001" customHeight="1" x14ac:dyDescent="0.3"/>
    <row r="799" ht="20.100000000000001" customHeight="1" x14ac:dyDescent="0.3"/>
    <row r="800" ht="20.100000000000001" customHeight="1" x14ac:dyDescent="0.3"/>
    <row r="801" ht="20.100000000000001" customHeight="1" x14ac:dyDescent="0.3"/>
    <row r="802" ht="20.100000000000001" customHeight="1" x14ac:dyDescent="0.3"/>
    <row r="803" ht="20.100000000000001" customHeight="1" x14ac:dyDescent="0.3"/>
    <row r="804" ht="20.100000000000001" customHeight="1" x14ac:dyDescent="0.3"/>
    <row r="805" ht="20.100000000000001" customHeight="1" x14ac:dyDescent="0.3"/>
    <row r="806" ht="20.100000000000001" customHeight="1" x14ac:dyDescent="0.3"/>
    <row r="807" ht="20.100000000000001" customHeight="1" x14ac:dyDescent="0.3"/>
    <row r="808" ht="20.100000000000001" customHeight="1" x14ac:dyDescent="0.3"/>
    <row r="809" ht="20.100000000000001" customHeight="1" x14ac:dyDescent="0.3"/>
    <row r="810" ht="20.100000000000001" customHeight="1" x14ac:dyDescent="0.3"/>
    <row r="811" ht="20.100000000000001" customHeight="1" x14ac:dyDescent="0.3"/>
    <row r="812" ht="20.100000000000001" customHeight="1" x14ac:dyDescent="0.3"/>
    <row r="813" ht="20.100000000000001" customHeight="1" x14ac:dyDescent="0.3"/>
    <row r="814" ht="20.100000000000001" customHeight="1" x14ac:dyDescent="0.3"/>
    <row r="815" ht="20.100000000000001" customHeight="1" x14ac:dyDescent="0.3"/>
    <row r="816" ht="20.100000000000001" customHeight="1" x14ac:dyDescent="0.3"/>
    <row r="817" ht="20.100000000000001" customHeight="1" x14ac:dyDescent="0.3"/>
    <row r="818" ht="20.100000000000001" customHeight="1" x14ac:dyDescent="0.3"/>
    <row r="819" ht="20.100000000000001" customHeight="1" x14ac:dyDescent="0.3"/>
    <row r="820" ht="20.100000000000001" customHeight="1" x14ac:dyDescent="0.3"/>
    <row r="821" ht="20.100000000000001" customHeight="1" x14ac:dyDescent="0.3"/>
    <row r="822" ht="20.100000000000001" customHeight="1" x14ac:dyDescent="0.3"/>
    <row r="823" ht="20.100000000000001" customHeight="1" x14ac:dyDescent="0.3"/>
    <row r="824" ht="20.100000000000001" customHeight="1" x14ac:dyDescent="0.3"/>
    <row r="825" ht="20.100000000000001" customHeight="1" x14ac:dyDescent="0.3"/>
    <row r="826" ht="20.100000000000001" customHeight="1" x14ac:dyDescent="0.3"/>
    <row r="827" ht="20.100000000000001" customHeight="1" x14ac:dyDescent="0.3"/>
    <row r="828" ht="20.100000000000001" customHeight="1" x14ac:dyDescent="0.3"/>
    <row r="829" ht="20.100000000000001" customHeight="1" x14ac:dyDescent="0.3"/>
    <row r="830" ht="20.100000000000001" customHeight="1" x14ac:dyDescent="0.3"/>
    <row r="831" ht="20.100000000000001" customHeight="1" x14ac:dyDescent="0.3"/>
    <row r="832" ht="20.100000000000001" customHeight="1" x14ac:dyDescent="0.3"/>
    <row r="833" ht="20.100000000000001" customHeight="1" x14ac:dyDescent="0.3"/>
    <row r="834" ht="20.100000000000001" customHeight="1" x14ac:dyDescent="0.3"/>
    <row r="835" ht="20.100000000000001" customHeight="1" x14ac:dyDescent="0.3"/>
    <row r="836" ht="20.100000000000001" customHeight="1" x14ac:dyDescent="0.3"/>
    <row r="837" ht="20.100000000000001" customHeight="1" x14ac:dyDescent="0.3"/>
    <row r="838" ht="20.100000000000001" customHeight="1" x14ac:dyDescent="0.3"/>
    <row r="839" ht="20.100000000000001" customHeight="1" x14ac:dyDescent="0.3"/>
    <row r="840" ht="20.100000000000001" customHeight="1" x14ac:dyDescent="0.3"/>
    <row r="841" ht="20.100000000000001" customHeight="1" x14ac:dyDescent="0.3"/>
    <row r="842" ht="20.100000000000001" customHeight="1" x14ac:dyDescent="0.3"/>
    <row r="843" ht="20.100000000000001" customHeight="1" x14ac:dyDescent="0.3"/>
    <row r="844" ht="20.100000000000001" customHeight="1" x14ac:dyDescent="0.3"/>
    <row r="845" ht="20.100000000000001" customHeight="1" x14ac:dyDescent="0.3"/>
    <row r="846" ht="20.100000000000001" customHeight="1" x14ac:dyDescent="0.3"/>
    <row r="847" ht="20.100000000000001" customHeight="1" x14ac:dyDescent="0.3"/>
    <row r="848" ht="20.100000000000001" customHeight="1" x14ac:dyDescent="0.3"/>
    <row r="849" ht="20.100000000000001" customHeight="1" x14ac:dyDescent="0.3"/>
    <row r="850" ht="20.100000000000001" customHeight="1" x14ac:dyDescent="0.3"/>
    <row r="851" ht="20.100000000000001" customHeight="1" x14ac:dyDescent="0.3"/>
    <row r="852" ht="20.100000000000001" customHeight="1" x14ac:dyDescent="0.3"/>
    <row r="853" ht="20.100000000000001" customHeight="1" x14ac:dyDescent="0.3"/>
    <row r="854" ht="20.100000000000001" customHeight="1" x14ac:dyDescent="0.3"/>
    <row r="855" ht="20.100000000000001" customHeight="1" x14ac:dyDescent="0.3"/>
    <row r="856" ht="20.100000000000001" customHeight="1" x14ac:dyDescent="0.3"/>
    <row r="857" ht="20.100000000000001" customHeight="1" x14ac:dyDescent="0.3"/>
    <row r="858" ht="20.100000000000001" customHeight="1" x14ac:dyDescent="0.3"/>
    <row r="859" ht="20.100000000000001" customHeight="1" x14ac:dyDescent="0.3"/>
    <row r="860" ht="20.100000000000001" customHeight="1" x14ac:dyDescent="0.3"/>
    <row r="861" ht="20.100000000000001" customHeight="1" x14ac:dyDescent="0.3"/>
    <row r="862" ht="20.100000000000001" customHeight="1" x14ac:dyDescent="0.3"/>
    <row r="863" ht="20.100000000000001" customHeight="1" x14ac:dyDescent="0.3"/>
    <row r="864" ht="20.100000000000001" customHeight="1" x14ac:dyDescent="0.3"/>
    <row r="865" ht="20.100000000000001" customHeight="1" x14ac:dyDescent="0.3"/>
    <row r="866" ht="20.100000000000001" customHeight="1" x14ac:dyDescent="0.3"/>
    <row r="867" ht="20.100000000000001" customHeight="1" x14ac:dyDescent="0.3"/>
    <row r="868" ht="20.100000000000001" customHeight="1" x14ac:dyDescent="0.3"/>
    <row r="869" ht="20.100000000000001" customHeight="1" x14ac:dyDescent="0.3"/>
    <row r="870" ht="20.100000000000001" customHeight="1" x14ac:dyDescent="0.3"/>
    <row r="871" ht="20.100000000000001" customHeight="1" x14ac:dyDescent="0.3"/>
    <row r="872" ht="20.100000000000001" customHeight="1" x14ac:dyDescent="0.3"/>
    <row r="873" ht="20.100000000000001" customHeight="1" x14ac:dyDescent="0.3"/>
    <row r="874" ht="20.100000000000001" customHeight="1" x14ac:dyDescent="0.3"/>
    <row r="875" ht="20.100000000000001" customHeight="1" x14ac:dyDescent="0.3"/>
    <row r="876" ht="20.100000000000001" customHeight="1" x14ac:dyDescent="0.3"/>
    <row r="877" ht="20.100000000000001" customHeight="1" x14ac:dyDescent="0.3"/>
    <row r="878" ht="20.100000000000001" customHeight="1" x14ac:dyDescent="0.3"/>
    <row r="879" ht="20.100000000000001" customHeight="1" x14ac:dyDescent="0.3"/>
    <row r="880" ht="20.100000000000001" customHeight="1" x14ac:dyDescent="0.3"/>
    <row r="881" ht="20.100000000000001" customHeight="1" x14ac:dyDescent="0.3"/>
    <row r="882" ht="20.100000000000001" customHeight="1" x14ac:dyDescent="0.3"/>
    <row r="883" ht="20.100000000000001" customHeight="1" x14ac:dyDescent="0.3"/>
    <row r="884" ht="20.100000000000001" customHeight="1" x14ac:dyDescent="0.3"/>
    <row r="885" ht="20.100000000000001" customHeight="1" x14ac:dyDescent="0.3"/>
    <row r="886" ht="20.100000000000001" customHeight="1" x14ac:dyDescent="0.3"/>
    <row r="887" ht="20.100000000000001" customHeight="1" x14ac:dyDescent="0.3"/>
    <row r="888" ht="20.100000000000001" customHeight="1" x14ac:dyDescent="0.3"/>
    <row r="889" ht="20.100000000000001" customHeight="1" x14ac:dyDescent="0.3"/>
    <row r="890" ht="20.100000000000001" customHeight="1" x14ac:dyDescent="0.3"/>
    <row r="891" ht="20.100000000000001" customHeight="1" x14ac:dyDescent="0.3"/>
    <row r="892" ht="20.100000000000001" customHeight="1" x14ac:dyDescent="0.3"/>
    <row r="893" ht="20.100000000000001" customHeight="1" x14ac:dyDescent="0.3"/>
    <row r="894" ht="20.100000000000001" customHeight="1" x14ac:dyDescent="0.3"/>
    <row r="895" ht="20.100000000000001" customHeight="1" x14ac:dyDescent="0.3"/>
    <row r="896" ht="20.100000000000001" customHeight="1" x14ac:dyDescent="0.3"/>
    <row r="897" ht="20.100000000000001" customHeight="1" x14ac:dyDescent="0.3"/>
    <row r="898" ht="20.100000000000001" customHeight="1" x14ac:dyDescent="0.3"/>
    <row r="899" ht="20.100000000000001" customHeight="1" x14ac:dyDescent="0.3"/>
    <row r="900" ht="20.100000000000001" customHeight="1" x14ac:dyDescent="0.3"/>
    <row r="901" ht="20.100000000000001" customHeight="1" x14ac:dyDescent="0.3"/>
    <row r="902" ht="20.100000000000001" customHeight="1" x14ac:dyDescent="0.3"/>
    <row r="903" ht="20.100000000000001" customHeight="1" x14ac:dyDescent="0.3"/>
    <row r="904" ht="20.100000000000001" customHeight="1" x14ac:dyDescent="0.3"/>
    <row r="905" ht="20.100000000000001" customHeight="1" x14ac:dyDescent="0.3"/>
    <row r="906" ht="20.100000000000001" customHeight="1" x14ac:dyDescent="0.3"/>
    <row r="907" ht="20.100000000000001" customHeight="1" x14ac:dyDescent="0.3"/>
    <row r="908" ht="20.100000000000001" customHeight="1" x14ac:dyDescent="0.3"/>
    <row r="909" ht="20.100000000000001" customHeight="1" x14ac:dyDescent="0.3"/>
    <row r="910" ht="20.100000000000001" customHeight="1" x14ac:dyDescent="0.3"/>
    <row r="911" ht="20.100000000000001" customHeight="1" x14ac:dyDescent="0.3"/>
    <row r="912" ht="20.100000000000001" customHeight="1" x14ac:dyDescent="0.3"/>
    <row r="913" ht="20.100000000000001" customHeight="1" x14ac:dyDescent="0.3"/>
    <row r="914" ht="20.100000000000001" customHeight="1" x14ac:dyDescent="0.3"/>
    <row r="915" ht="20.100000000000001" customHeight="1" x14ac:dyDescent="0.3"/>
    <row r="916" ht="20.100000000000001" customHeight="1" x14ac:dyDescent="0.3"/>
    <row r="917" ht="20.100000000000001" customHeight="1" x14ac:dyDescent="0.3"/>
    <row r="918" ht="20.100000000000001" customHeight="1" x14ac:dyDescent="0.3"/>
    <row r="919" ht="20.100000000000001" customHeight="1" x14ac:dyDescent="0.3"/>
    <row r="920" ht="20.100000000000001" customHeight="1" x14ac:dyDescent="0.3"/>
    <row r="921" ht="20.100000000000001" customHeight="1" x14ac:dyDescent="0.3"/>
    <row r="922" ht="20.100000000000001" customHeight="1" x14ac:dyDescent="0.3"/>
    <row r="923" ht="20.100000000000001" customHeight="1" x14ac:dyDescent="0.3"/>
    <row r="924" ht="20.100000000000001" customHeight="1" x14ac:dyDescent="0.3"/>
    <row r="925" ht="20.100000000000001" customHeight="1" x14ac:dyDescent="0.3"/>
    <row r="926" ht="20.100000000000001" customHeight="1" x14ac:dyDescent="0.3"/>
    <row r="927" ht="20.100000000000001" customHeight="1" x14ac:dyDescent="0.3"/>
    <row r="928" ht="20.100000000000001" customHeight="1" x14ac:dyDescent="0.3"/>
    <row r="929" ht="20.100000000000001" customHeight="1" x14ac:dyDescent="0.3"/>
    <row r="930" ht="20.100000000000001" customHeight="1" x14ac:dyDescent="0.3"/>
    <row r="931" ht="20.100000000000001" customHeight="1" x14ac:dyDescent="0.3"/>
    <row r="932" ht="20.100000000000001" customHeight="1" x14ac:dyDescent="0.3"/>
    <row r="933" ht="20.100000000000001" customHeight="1" x14ac:dyDescent="0.3"/>
    <row r="934" ht="20.100000000000001" customHeight="1" x14ac:dyDescent="0.3"/>
    <row r="935" ht="20.100000000000001" customHeight="1" x14ac:dyDescent="0.3"/>
    <row r="936" ht="20.100000000000001" customHeight="1" x14ac:dyDescent="0.3"/>
    <row r="937" ht="20.100000000000001" customHeight="1" x14ac:dyDescent="0.3"/>
    <row r="938" ht="20.100000000000001" customHeight="1" x14ac:dyDescent="0.3"/>
    <row r="939" ht="20.100000000000001" customHeight="1" x14ac:dyDescent="0.3"/>
    <row r="940" ht="20.100000000000001" customHeight="1" x14ac:dyDescent="0.3"/>
    <row r="941" ht="20.100000000000001" customHeight="1" x14ac:dyDescent="0.3"/>
    <row r="942" ht="20.100000000000001" customHeight="1" x14ac:dyDescent="0.3"/>
    <row r="943" ht="20.100000000000001" customHeight="1" x14ac:dyDescent="0.3"/>
    <row r="944" ht="20.100000000000001" customHeight="1" x14ac:dyDescent="0.3"/>
    <row r="945" ht="20.100000000000001" customHeight="1" x14ac:dyDescent="0.3"/>
    <row r="946" ht="20.100000000000001" customHeight="1" x14ac:dyDescent="0.3"/>
    <row r="947" ht="20.100000000000001" customHeight="1" x14ac:dyDescent="0.3"/>
    <row r="948" ht="20.100000000000001" customHeight="1" x14ac:dyDescent="0.3"/>
    <row r="949" ht="20.100000000000001" customHeight="1" x14ac:dyDescent="0.3"/>
    <row r="950" ht="20.100000000000001" customHeight="1" x14ac:dyDescent="0.3"/>
    <row r="951" ht="20.100000000000001" customHeight="1" x14ac:dyDescent="0.3"/>
    <row r="952" ht="20.100000000000001" customHeight="1" x14ac:dyDescent="0.3"/>
    <row r="953" ht="20.100000000000001" customHeight="1" x14ac:dyDescent="0.3"/>
    <row r="954" ht="20.100000000000001" customHeight="1" x14ac:dyDescent="0.3"/>
    <row r="955" ht="20.100000000000001" customHeight="1" x14ac:dyDescent="0.3"/>
    <row r="956" ht="20.100000000000001" customHeight="1" x14ac:dyDescent="0.3"/>
    <row r="957" ht="20.100000000000001" customHeight="1" x14ac:dyDescent="0.3"/>
    <row r="958" ht="20.100000000000001" customHeight="1" x14ac:dyDescent="0.3"/>
    <row r="959" ht="20.100000000000001" customHeight="1" x14ac:dyDescent="0.3"/>
    <row r="960" ht="20.100000000000001" customHeight="1" x14ac:dyDescent="0.3"/>
    <row r="961" ht="20.100000000000001" customHeight="1" x14ac:dyDescent="0.3"/>
    <row r="962" ht="20.100000000000001" customHeight="1" x14ac:dyDescent="0.3"/>
    <row r="963" ht="20.100000000000001" customHeight="1" x14ac:dyDescent="0.3"/>
    <row r="964" ht="20.100000000000001" customHeight="1" x14ac:dyDescent="0.3"/>
    <row r="965" ht="20.100000000000001" customHeight="1" x14ac:dyDescent="0.3"/>
    <row r="966" ht="20.100000000000001" customHeight="1" x14ac:dyDescent="0.3"/>
    <row r="967" ht="20.100000000000001" customHeight="1" x14ac:dyDescent="0.3"/>
    <row r="968" ht="20.100000000000001" customHeight="1" x14ac:dyDescent="0.3"/>
    <row r="969" ht="20.100000000000001" customHeight="1" x14ac:dyDescent="0.3"/>
    <row r="970" ht="20.100000000000001" customHeight="1" x14ac:dyDescent="0.3"/>
    <row r="971" ht="20.100000000000001" customHeight="1" x14ac:dyDescent="0.3"/>
    <row r="972" ht="20.100000000000001" customHeight="1" x14ac:dyDescent="0.3"/>
    <row r="973" ht="20.100000000000001" customHeight="1" x14ac:dyDescent="0.3"/>
    <row r="974" ht="20.100000000000001" customHeight="1" x14ac:dyDescent="0.3"/>
    <row r="975" ht="20.100000000000001" customHeight="1" x14ac:dyDescent="0.3"/>
    <row r="976" ht="20.100000000000001" customHeight="1" x14ac:dyDescent="0.3"/>
    <row r="977" ht="20.100000000000001" customHeight="1" x14ac:dyDescent="0.3"/>
    <row r="978" ht="20.100000000000001" customHeight="1" x14ac:dyDescent="0.3"/>
    <row r="979" ht="20.100000000000001" customHeight="1" x14ac:dyDescent="0.3"/>
    <row r="980" ht="20.100000000000001" customHeight="1" x14ac:dyDescent="0.3"/>
    <row r="981" ht="20.100000000000001" customHeight="1" x14ac:dyDescent="0.3"/>
    <row r="982" ht="20.100000000000001" customHeight="1" x14ac:dyDescent="0.3"/>
    <row r="983" ht="20.100000000000001" customHeight="1" x14ac:dyDescent="0.3"/>
    <row r="984" ht="20.100000000000001" customHeight="1" x14ac:dyDescent="0.3"/>
    <row r="985" ht="20.100000000000001" customHeight="1" x14ac:dyDescent="0.3"/>
    <row r="986" ht="20.100000000000001" customHeight="1" x14ac:dyDescent="0.3"/>
    <row r="987" ht="20.100000000000001" customHeight="1" x14ac:dyDescent="0.3"/>
    <row r="988" ht="20.100000000000001" customHeight="1" x14ac:dyDescent="0.3"/>
    <row r="989" ht="20.100000000000001" customHeight="1" x14ac:dyDescent="0.3"/>
    <row r="990" ht="20.100000000000001" customHeight="1" x14ac:dyDescent="0.3"/>
    <row r="991" ht="20.100000000000001" customHeight="1" x14ac:dyDescent="0.3"/>
    <row r="992" ht="20.100000000000001" customHeight="1" x14ac:dyDescent="0.3"/>
    <row r="993" ht="20.100000000000001" customHeight="1" x14ac:dyDescent="0.3"/>
    <row r="994" ht="20.100000000000001" customHeight="1" x14ac:dyDescent="0.3"/>
    <row r="995" ht="20.100000000000001" customHeight="1" x14ac:dyDescent="0.3"/>
    <row r="996" ht="20.100000000000001" customHeight="1" x14ac:dyDescent="0.3"/>
    <row r="997" ht="20.100000000000001" customHeight="1" x14ac:dyDescent="0.3"/>
    <row r="998" ht="20.100000000000001" customHeight="1" x14ac:dyDescent="0.3"/>
    <row r="999" ht="20.100000000000001" customHeight="1" x14ac:dyDescent="0.3"/>
    <row r="1000" ht="20.100000000000001" customHeight="1" x14ac:dyDescent="0.3"/>
    <row r="1001" ht="20.100000000000001" customHeight="1" x14ac:dyDescent="0.3"/>
    <row r="1002" ht="20.100000000000001" customHeight="1" x14ac:dyDescent="0.3"/>
    <row r="1003" ht="20.100000000000001" customHeight="1" x14ac:dyDescent="0.3"/>
    <row r="1004" ht="20.100000000000001" customHeight="1" x14ac:dyDescent="0.3"/>
    <row r="1005" ht="20.100000000000001" customHeight="1" x14ac:dyDescent="0.3"/>
    <row r="1006" ht="20.100000000000001" customHeight="1" x14ac:dyDescent="0.3"/>
    <row r="1007" ht="20.100000000000001" customHeight="1" x14ac:dyDescent="0.3"/>
    <row r="1008" ht="20.100000000000001" customHeight="1" x14ac:dyDescent="0.3"/>
    <row r="1009" ht="20.100000000000001" customHeight="1" x14ac:dyDescent="0.3"/>
    <row r="1010" ht="20.100000000000001" customHeight="1" x14ac:dyDescent="0.3"/>
    <row r="1011" ht="20.100000000000001" customHeight="1" x14ac:dyDescent="0.3"/>
    <row r="1012" ht="20.100000000000001" customHeight="1" x14ac:dyDescent="0.3"/>
    <row r="1013" ht="20.100000000000001" customHeight="1" x14ac:dyDescent="0.3"/>
    <row r="1014" ht="20.100000000000001" customHeight="1" x14ac:dyDescent="0.3"/>
    <row r="1015" ht="20.100000000000001" customHeight="1" x14ac:dyDescent="0.3"/>
    <row r="1016" ht="20.100000000000001" customHeight="1" x14ac:dyDescent="0.3"/>
    <row r="1017" ht="20.100000000000001" customHeight="1" x14ac:dyDescent="0.3"/>
    <row r="1018" ht="20.100000000000001" customHeight="1" x14ac:dyDescent="0.3"/>
    <row r="1019" ht="20.100000000000001" customHeight="1" x14ac:dyDescent="0.3"/>
    <row r="1020" ht="20.100000000000001" customHeight="1" x14ac:dyDescent="0.3"/>
    <row r="1021" ht="20.100000000000001" customHeight="1" x14ac:dyDescent="0.3"/>
    <row r="1022" ht="20.100000000000001" customHeight="1" x14ac:dyDescent="0.3"/>
    <row r="1023" ht="20.100000000000001" customHeight="1" x14ac:dyDescent="0.3"/>
    <row r="1024" ht="20.100000000000001" customHeight="1" x14ac:dyDescent="0.3"/>
    <row r="1025" ht="20.100000000000001" customHeight="1" x14ac:dyDescent="0.3"/>
    <row r="1026" ht="20.100000000000001" customHeight="1" x14ac:dyDescent="0.3"/>
    <row r="1027" ht="20.100000000000001" customHeight="1" x14ac:dyDescent="0.3"/>
    <row r="1028" ht="20.100000000000001" customHeight="1" x14ac:dyDescent="0.3"/>
    <row r="1029" ht="20.100000000000001" customHeight="1" x14ac:dyDescent="0.3"/>
    <row r="1030" ht="20.100000000000001" customHeight="1" x14ac:dyDescent="0.3"/>
    <row r="1031" ht="20.100000000000001" customHeight="1" x14ac:dyDescent="0.3"/>
    <row r="1032" ht="20.100000000000001" customHeight="1" x14ac:dyDescent="0.3"/>
  </sheetData>
  <phoneticPr fontId="13"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B002B-893A-4B0D-AB06-58477345FEFA}">
  <dimension ref="A1:B16"/>
  <sheetViews>
    <sheetView zoomScaleNormal="100" workbookViewId="0">
      <selection activeCell="F10" sqref="F10"/>
    </sheetView>
  </sheetViews>
  <sheetFormatPr defaultRowHeight="14.4" x14ac:dyDescent="0.3"/>
  <cols>
    <col min="1" max="1" width="97.21875" style="2" customWidth="1"/>
    <col min="2" max="2" width="13.33203125" style="2" customWidth="1"/>
    <col min="3" max="16384" width="8.88671875" style="2"/>
  </cols>
  <sheetData>
    <row r="1" spans="1:2" x14ac:dyDescent="0.3">
      <c r="A1" s="1"/>
      <c r="B1" s="1"/>
    </row>
    <row r="2" spans="1:2" x14ac:dyDescent="0.3">
      <c r="A2" s="1"/>
      <c r="B2" s="1"/>
    </row>
    <row r="3" spans="1:2" ht="24.6" x14ac:dyDescent="0.4">
      <c r="A3" s="3" t="s">
        <v>296</v>
      </c>
      <c r="B3" s="3"/>
    </row>
    <row r="4" spans="1:2" ht="17.399999999999999" x14ac:dyDescent="0.3">
      <c r="A4" s="4" t="s">
        <v>297</v>
      </c>
      <c r="B4" s="4"/>
    </row>
    <row r="5" spans="1:2" x14ac:dyDescent="0.3">
      <c r="A5" s="5"/>
      <c r="B5" s="5"/>
    </row>
    <row r="6" spans="1:2" ht="17.399999999999999" x14ac:dyDescent="0.3">
      <c r="A6" s="6" t="s">
        <v>298</v>
      </c>
      <c r="B6" s="6"/>
    </row>
    <row r="7" spans="1:2" ht="15.6" x14ac:dyDescent="0.3">
      <c r="A7" s="7" t="s">
        <v>299</v>
      </c>
      <c r="B7" s="8"/>
    </row>
    <row r="8" spans="1:2" ht="15.6" x14ac:dyDescent="0.3">
      <c r="A8" s="8" t="s">
        <v>300</v>
      </c>
      <c r="B8" s="8"/>
    </row>
    <row r="9" spans="1:2" ht="15.6" x14ac:dyDescent="0.3">
      <c r="A9" s="8" t="s">
        <v>301</v>
      </c>
      <c r="B9" s="8"/>
    </row>
    <row r="10" spans="1:2" ht="15.6" x14ac:dyDescent="0.3">
      <c r="A10" s="8" t="s">
        <v>302</v>
      </c>
      <c r="B10" s="8"/>
    </row>
    <row r="11" spans="1:2" ht="15.6" x14ac:dyDescent="0.3">
      <c r="A11" s="8" t="s">
        <v>303</v>
      </c>
      <c r="B11" s="8"/>
    </row>
    <row r="12" spans="1:2" ht="15.6" x14ac:dyDescent="0.3">
      <c r="A12" s="8" t="s">
        <v>304</v>
      </c>
      <c r="B12" s="8"/>
    </row>
    <row r="13" spans="1:2" ht="15.6" x14ac:dyDescent="0.3">
      <c r="A13" s="8" t="s">
        <v>305</v>
      </c>
      <c r="B13" s="8"/>
    </row>
    <row r="14" spans="1:2" ht="15.6" x14ac:dyDescent="0.3">
      <c r="A14" s="8" t="s">
        <v>306</v>
      </c>
      <c r="B14" s="8"/>
    </row>
    <row r="15" spans="1:2" ht="15.6" x14ac:dyDescent="0.3">
      <c r="A15" s="8" t="s">
        <v>307</v>
      </c>
      <c r="B15" s="8"/>
    </row>
    <row r="16" spans="1:2" ht="15.6" x14ac:dyDescent="0.3">
      <c r="A16" s="8" t="s">
        <v>308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1EA9D-72E5-43BD-B6C9-DD49C220208E}">
  <dimension ref="A1:BH71"/>
  <sheetViews>
    <sheetView topLeftCell="AM1" workbookViewId="0">
      <selection activeCell="AX15" sqref="AX15"/>
    </sheetView>
  </sheetViews>
  <sheetFormatPr defaultRowHeight="14.4" x14ac:dyDescent="0.3"/>
  <cols>
    <col min="1" max="1" width="12.5546875" style="2" bestFit="1" customWidth="1"/>
    <col min="2" max="2" width="14.5546875" style="2" bestFit="1" customWidth="1"/>
    <col min="3" max="3" width="16.44140625" style="2" customWidth="1"/>
    <col min="4" max="4" width="12.5546875" style="2" bestFit="1" customWidth="1"/>
    <col min="5" max="5" width="8.88671875" style="2"/>
    <col min="6" max="6" width="8.88671875" style="53"/>
    <col min="7" max="7" width="8.88671875" style="2"/>
    <col min="8" max="8" width="15.33203125" style="2" customWidth="1"/>
    <col min="9" max="9" width="14.109375" style="2" customWidth="1"/>
    <col min="10" max="11" width="8.88671875" style="2"/>
    <col min="12" max="12" width="8.88671875" style="53"/>
    <col min="13" max="13" width="8.88671875" style="2"/>
    <col min="14" max="14" width="14.21875" style="2" customWidth="1"/>
    <col min="15" max="15" width="18.109375" style="2" customWidth="1"/>
    <col min="16" max="17" width="8.88671875" style="2"/>
    <col min="18" max="18" width="8.88671875" style="53"/>
    <col min="19" max="19" width="8.88671875" style="2"/>
    <col min="20" max="20" width="13.6640625" style="2" customWidth="1"/>
    <col min="21" max="21" width="15.88671875" style="2" customWidth="1"/>
    <col min="22" max="23" width="8.88671875" style="2"/>
    <col min="24" max="24" width="8.88671875" style="53"/>
    <col min="25" max="25" width="8.88671875" style="2"/>
    <col min="26" max="26" width="14.44140625" style="2" customWidth="1"/>
    <col min="27" max="27" width="17.109375" style="2" customWidth="1"/>
    <col min="28" max="29" width="8.88671875" style="2"/>
    <col min="30" max="30" width="8.88671875" style="53"/>
    <col min="31" max="32" width="8.88671875" style="2"/>
    <col min="33" max="33" width="17.77734375" style="2" customWidth="1"/>
    <col min="34" max="35" width="8.88671875" style="2"/>
    <col min="36" max="36" width="8.88671875" style="53"/>
    <col min="37" max="38" width="8.88671875" style="2"/>
    <col min="39" max="39" width="17.109375" style="2" customWidth="1"/>
    <col min="40" max="41" width="8.88671875" style="2"/>
    <col min="42" max="42" width="8.88671875" style="53"/>
    <col min="43" max="44" width="8.88671875" style="2"/>
    <col min="45" max="45" width="18.88671875" style="2" customWidth="1"/>
    <col min="46" max="47" width="8.88671875" style="2"/>
    <col min="48" max="48" width="8.88671875" style="53"/>
    <col min="49" max="49" width="8.88671875" style="2"/>
    <col min="50" max="50" width="16.6640625" style="2" customWidth="1"/>
    <col min="51" max="51" width="16.109375" style="2" customWidth="1"/>
    <col min="52" max="53" width="8.88671875" style="2"/>
    <col min="54" max="54" width="8.88671875" style="53"/>
    <col min="55" max="55" width="8.88671875" style="2"/>
    <col min="56" max="56" width="15" style="2" customWidth="1"/>
    <col min="57" max="57" width="17.109375" style="2" customWidth="1"/>
    <col min="58" max="59" width="8.88671875" style="2"/>
    <col min="60" max="60" width="8.88671875" style="56"/>
    <col min="61" max="16384" width="8.88671875" style="2"/>
  </cols>
  <sheetData>
    <row r="1" spans="1:60" x14ac:dyDescent="0.3">
      <c r="A1" s="54" t="s">
        <v>299</v>
      </c>
      <c r="B1" s="54"/>
      <c r="C1" s="54"/>
      <c r="D1" s="54"/>
      <c r="E1" s="54"/>
      <c r="G1" s="54" t="s">
        <v>300</v>
      </c>
      <c r="H1" s="54"/>
      <c r="I1" s="54"/>
      <c r="J1" s="54"/>
      <c r="K1" s="54"/>
      <c r="M1" s="54" t="s">
        <v>301</v>
      </c>
      <c r="N1" s="54"/>
      <c r="O1" s="54"/>
      <c r="P1" s="54"/>
      <c r="Q1" s="54"/>
      <c r="S1" s="54" t="s">
        <v>302</v>
      </c>
      <c r="T1" s="54"/>
      <c r="U1" s="54"/>
      <c r="V1" s="54"/>
      <c r="W1" s="54"/>
      <c r="Y1" s="54" t="s">
        <v>303</v>
      </c>
      <c r="Z1" s="54"/>
      <c r="AA1" s="54"/>
      <c r="AB1" s="54"/>
      <c r="AC1" s="54"/>
      <c r="AE1" s="54" t="s">
        <v>304</v>
      </c>
      <c r="AF1" s="54"/>
      <c r="AG1" s="54"/>
      <c r="AH1" s="54"/>
      <c r="AI1" s="54"/>
      <c r="AK1" s="54" t="s">
        <v>305</v>
      </c>
      <c r="AL1" s="54"/>
      <c r="AM1" s="54"/>
      <c r="AN1" s="54"/>
      <c r="AO1" s="54"/>
      <c r="AQ1" s="54" t="s">
        <v>340</v>
      </c>
      <c r="AR1" s="54"/>
      <c r="AS1" s="54"/>
      <c r="AT1" s="54"/>
      <c r="AU1" s="54"/>
      <c r="AW1" s="54" t="s">
        <v>307</v>
      </c>
      <c r="AX1" s="54"/>
      <c r="AY1" s="54"/>
      <c r="AZ1" s="54"/>
      <c r="BA1" s="54"/>
      <c r="BC1" s="54" t="s">
        <v>308</v>
      </c>
      <c r="BD1" s="54"/>
      <c r="BE1" s="54"/>
      <c r="BF1" s="54"/>
      <c r="BG1" s="54"/>
    </row>
    <row r="2" spans="1:60" x14ac:dyDescent="0.3">
      <c r="A2" s="54"/>
      <c r="B2" s="54"/>
      <c r="C2" s="54"/>
      <c r="D2" s="54"/>
      <c r="E2" s="54"/>
      <c r="G2" s="54"/>
      <c r="H2" s="54"/>
      <c r="I2" s="54"/>
      <c r="J2" s="54"/>
      <c r="K2" s="54"/>
      <c r="M2" s="54"/>
      <c r="N2" s="54"/>
      <c r="O2" s="54"/>
      <c r="P2" s="54"/>
      <c r="Q2" s="54"/>
      <c r="S2" s="54"/>
      <c r="T2" s="54"/>
      <c r="U2" s="54"/>
      <c r="V2" s="54"/>
      <c r="W2" s="54"/>
      <c r="Y2" s="54"/>
      <c r="Z2" s="54"/>
      <c r="AA2" s="54"/>
      <c r="AB2" s="54"/>
      <c r="AC2" s="54"/>
      <c r="AE2" s="54"/>
      <c r="AF2" s="54"/>
      <c r="AG2" s="54"/>
      <c r="AH2" s="54"/>
      <c r="AI2" s="54"/>
      <c r="AK2" s="54"/>
      <c r="AL2" s="54"/>
      <c r="AM2" s="54"/>
      <c r="AN2" s="54"/>
      <c r="AO2" s="54"/>
      <c r="AQ2" s="54"/>
      <c r="AR2" s="54"/>
      <c r="AS2" s="54"/>
      <c r="AT2" s="54"/>
      <c r="AU2" s="54"/>
      <c r="AW2" s="54"/>
      <c r="AX2" s="54"/>
      <c r="AY2" s="54"/>
      <c r="AZ2" s="54"/>
      <c r="BA2" s="54"/>
      <c r="BC2" s="54"/>
      <c r="BD2" s="54"/>
      <c r="BE2" s="54"/>
      <c r="BF2" s="54"/>
      <c r="BG2" s="54"/>
    </row>
    <row r="6" spans="1:60" s="47" customFormat="1" x14ac:dyDescent="0.3">
      <c r="B6" s="2" t="s">
        <v>332</v>
      </c>
      <c r="C6" s="46" t="s">
        <v>68</v>
      </c>
      <c r="F6" s="53"/>
      <c r="H6" s="2"/>
      <c r="I6" s="2"/>
      <c r="L6" s="53"/>
      <c r="R6" s="53"/>
      <c r="X6" s="53"/>
      <c r="Z6" s="2"/>
      <c r="AA6" s="2"/>
      <c r="AD6" s="53"/>
      <c r="AJ6" s="53"/>
      <c r="AP6" s="53"/>
      <c r="AV6" s="53"/>
      <c r="BB6" s="53"/>
      <c r="BD6" s="2"/>
      <c r="BE6" s="2"/>
      <c r="BH6" s="56"/>
    </row>
    <row r="8" spans="1:60" x14ac:dyDescent="0.3">
      <c r="B8" s="2" t="s">
        <v>310</v>
      </c>
      <c r="C8" s="2" t="s">
        <v>309</v>
      </c>
      <c r="H8" s="2" t="s">
        <v>310</v>
      </c>
      <c r="I8" s="2" t="s">
        <v>334</v>
      </c>
      <c r="N8" s="2" t="s">
        <v>310</v>
      </c>
      <c r="O8" s="2" t="s">
        <v>313</v>
      </c>
      <c r="T8" s="2" t="s">
        <v>310</v>
      </c>
      <c r="U8" s="2" t="s">
        <v>312</v>
      </c>
      <c r="Z8" s="2" t="s">
        <v>310</v>
      </c>
      <c r="AA8" s="2" t="s">
        <v>312</v>
      </c>
      <c r="AF8" s="2" t="s">
        <v>310</v>
      </c>
      <c r="AG8" s="2" t="s">
        <v>335</v>
      </c>
      <c r="AL8" s="2" t="s">
        <v>310</v>
      </c>
      <c r="AM8" s="2" t="s">
        <v>312</v>
      </c>
      <c r="AR8" s="2" t="s">
        <v>310</v>
      </c>
      <c r="AS8" s="2" t="s">
        <v>341</v>
      </c>
      <c r="AX8" s="2" t="s">
        <v>310</v>
      </c>
      <c r="AY8" s="2" t="s">
        <v>342</v>
      </c>
      <c r="BD8" s="2" t="s">
        <v>310</v>
      </c>
      <c r="BE8" s="2" t="s">
        <v>343</v>
      </c>
      <c r="BF8"/>
    </row>
    <row r="9" spans="1:60" x14ac:dyDescent="0.3">
      <c r="B9" s="48" t="s">
        <v>320</v>
      </c>
      <c r="C9" s="49">
        <v>59706</v>
      </c>
      <c r="H9" s="48" t="s">
        <v>320</v>
      </c>
      <c r="I9" s="2">
        <v>9</v>
      </c>
      <c r="N9" s="48" t="s">
        <v>320</v>
      </c>
      <c r="O9" s="49">
        <v>8489.3333333333339</v>
      </c>
      <c r="T9" s="48" t="s">
        <v>6</v>
      </c>
      <c r="U9" s="2">
        <v>78</v>
      </c>
      <c r="Z9" s="48" t="s">
        <v>321</v>
      </c>
      <c r="AA9" s="2">
        <v>96</v>
      </c>
      <c r="AF9" s="48" t="s">
        <v>322</v>
      </c>
      <c r="AG9" s="2">
        <v>80</v>
      </c>
      <c r="AL9" s="48" t="s">
        <v>336</v>
      </c>
      <c r="AM9" s="50">
        <v>0.35714285714285715</v>
      </c>
      <c r="AR9" s="48" t="s">
        <v>68</v>
      </c>
      <c r="AS9" s="50">
        <v>0.80952380952380953</v>
      </c>
      <c r="AX9" s="48" t="s">
        <v>282</v>
      </c>
      <c r="AY9" s="2">
        <v>59</v>
      </c>
      <c r="BD9" s="48" t="s">
        <v>243</v>
      </c>
      <c r="BE9" s="2">
        <v>91</v>
      </c>
      <c r="BF9"/>
    </row>
    <row r="10" spans="1:60" x14ac:dyDescent="0.3">
      <c r="B10" s="48" t="s">
        <v>205</v>
      </c>
      <c r="C10" s="49">
        <v>22000</v>
      </c>
      <c r="H10" s="48" t="s">
        <v>205</v>
      </c>
      <c r="I10" s="2">
        <v>1</v>
      </c>
      <c r="N10" s="48" t="s">
        <v>205</v>
      </c>
      <c r="O10" s="49">
        <v>22000</v>
      </c>
      <c r="T10" s="48" t="s">
        <v>32</v>
      </c>
      <c r="U10" s="2">
        <v>16</v>
      </c>
      <c r="Z10" s="48" t="s">
        <v>317</v>
      </c>
      <c r="AA10" s="2">
        <v>9</v>
      </c>
      <c r="AF10" s="48" t="s">
        <v>324</v>
      </c>
      <c r="AG10" s="2">
        <v>21</v>
      </c>
      <c r="AL10" s="48" t="s">
        <v>337</v>
      </c>
      <c r="AM10" s="50">
        <v>0.42857142857142855</v>
      </c>
      <c r="AR10" s="48" t="s">
        <v>0</v>
      </c>
      <c r="AS10" s="50">
        <v>0.18253968253968253</v>
      </c>
      <c r="AX10" s="48" t="s">
        <v>283</v>
      </c>
      <c r="AY10" s="2">
        <v>25</v>
      </c>
      <c r="BD10" s="48" t="s">
        <v>247</v>
      </c>
      <c r="BE10" s="2">
        <v>35</v>
      </c>
      <c r="BF10"/>
    </row>
    <row r="11" spans="1:60" x14ac:dyDescent="0.3">
      <c r="B11" s="48" t="s">
        <v>5</v>
      </c>
      <c r="C11" s="49">
        <v>424051</v>
      </c>
      <c r="H11" s="48" t="s">
        <v>5</v>
      </c>
      <c r="I11" s="2">
        <v>50</v>
      </c>
      <c r="N11" s="48" t="s">
        <v>5</v>
      </c>
      <c r="O11" s="49">
        <v>10989.04</v>
      </c>
      <c r="T11" s="48" t="s">
        <v>35</v>
      </c>
      <c r="U11" s="2">
        <v>13</v>
      </c>
      <c r="Z11" s="48" t="s">
        <v>3</v>
      </c>
      <c r="AA11" s="2">
        <v>5</v>
      </c>
      <c r="AF11" s="48" t="s">
        <v>323</v>
      </c>
      <c r="AG11" s="2">
        <v>16</v>
      </c>
      <c r="AL11" s="48" t="s">
        <v>339</v>
      </c>
      <c r="AM11" s="50">
        <v>0.21428571428571427</v>
      </c>
      <c r="AR11" s="48" t="s">
        <v>222</v>
      </c>
      <c r="AS11" s="50">
        <v>7.9365079365079361E-3</v>
      </c>
      <c r="AX11" s="48" t="s">
        <v>287</v>
      </c>
      <c r="AY11" s="2">
        <v>11</v>
      </c>
      <c r="BD11" s="48" t="s">
        <v>311</v>
      </c>
      <c r="BE11" s="2">
        <v>126</v>
      </c>
      <c r="BF11"/>
    </row>
    <row r="12" spans="1:60" x14ac:dyDescent="0.3">
      <c r="B12" s="48" t="s">
        <v>329</v>
      </c>
      <c r="C12" s="49">
        <v>502272.90544</v>
      </c>
      <c r="H12" s="48" t="s">
        <v>329</v>
      </c>
      <c r="I12" s="2">
        <v>62</v>
      </c>
      <c r="N12" s="48" t="s">
        <v>329</v>
      </c>
      <c r="O12" s="49">
        <v>9802.0937974193548</v>
      </c>
      <c r="T12" s="48" t="s">
        <v>91</v>
      </c>
      <c r="U12" s="2">
        <v>9</v>
      </c>
      <c r="Z12" s="48" t="s">
        <v>326</v>
      </c>
      <c r="AA12" s="2">
        <v>5</v>
      </c>
      <c r="AF12" s="48" t="s">
        <v>319</v>
      </c>
      <c r="AG12" s="2">
        <v>7</v>
      </c>
      <c r="AL12" s="48" t="s">
        <v>311</v>
      </c>
      <c r="AM12" s="50">
        <v>1</v>
      </c>
      <c r="AR12" s="48" t="s">
        <v>311</v>
      </c>
      <c r="AS12" s="50">
        <v>1</v>
      </c>
      <c r="AX12" s="48" t="s">
        <v>314</v>
      </c>
      <c r="AY12" s="2">
        <v>8</v>
      </c>
      <c r="BD12"/>
      <c r="BE12"/>
      <c r="BF12"/>
    </row>
    <row r="13" spans="1:60" x14ac:dyDescent="0.3">
      <c r="B13" s="48" t="s">
        <v>325</v>
      </c>
      <c r="C13" s="49">
        <v>9300</v>
      </c>
      <c r="H13" s="48" t="s">
        <v>325</v>
      </c>
      <c r="I13" s="2">
        <v>1</v>
      </c>
      <c r="N13" s="48" t="s">
        <v>325</v>
      </c>
      <c r="O13" s="49">
        <v>9300</v>
      </c>
      <c r="T13" s="48" t="s">
        <v>133</v>
      </c>
      <c r="U13" s="2">
        <v>4</v>
      </c>
      <c r="Z13" s="48" t="s">
        <v>31</v>
      </c>
      <c r="AA13" s="2">
        <v>4</v>
      </c>
      <c r="AF13" s="48" t="s">
        <v>318</v>
      </c>
      <c r="AG13" s="2">
        <v>2</v>
      </c>
      <c r="AR13"/>
      <c r="AS13"/>
      <c r="AX13" s="48" t="s">
        <v>133</v>
      </c>
      <c r="AY13" s="2">
        <v>8</v>
      </c>
      <c r="BD13"/>
      <c r="BE13"/>
      <c r="BF13"/>
    </row>
    <row r="14" spans="1:60" x14ac:dyDescent="0.3">
      <c r="B14" s="48" t="s">
        <v>47</v>
      </c>
      <c r="C14" s="49">
        <v>12000</v>
      </c>
      <c r="H14" s="48" t="s">
        <v>47</v>
      </c>
      <c r="I14" s="2">
        <v>3</v>
      </c>
      <c r="N14" s="48" t="s">
        <v>47</v>
      </c>
      <c r="O14" s="49">
        <v>9333.3333333333339</v>
      </c>
      <c r="T14" s="48" t="s">
        <v>96</v>
      </c>
      <c r="U14" s="2">
        <v>3</v>
      </c>
      <c r="Z14" s="48" t="s">
        <v>51</v>
      </c>
      <c r="AA14" s="2">
        <v>4</v>
      </c>
      <c r="AF14" s="48" t="s">
        <v>311</v>
      </c>
      <c r="AG14" s="49">
        <v>126</v>
      </c>
      <c r="AX14" s="48" t="s">
        <v>284</v>
      </c>
      <c r="AY14" s="2">
        <v>5</v>
      </c>
      <c r="BD14"/>
      <c r="BE14">
        <f>GETPIVOTDATA("نوع العميل",$BD$8)</f>
        <v>126</v>
      </c>
      <c r="BF14"/>
    </row>
    <row r="15" spans="1:60" x14ac:dyDescent="0.3">
      <c r="B15" s="48" t="s">
        <v>311</v>
      </c>
      <c r="C15" s="49">
        <v>1029329.90544</v>
      </c>
      <c r="H15" s="48" t="s">
        <v>311</v>
      </c>
      <c r="I15" s="2">
        <v>126</v>
      </c>
      <c r="N15" s="48" t="s">
        <v>311</v>
      </c>
      <c r="O15" s="49">
        <v>10260.998535238094</v>
      </c>
      <c r="T15" s="48" t="s">
        <v>107</v>
      </c>
      <c r="U15" s="2">
        <v>2</v>
      </c>
      <c r="Z15" s="48" t="s">
        <v>188</v>
      </c>
      <c r="AA15" s="2">
        <v>2</v>
      </c>
      <c r="AX15" s="48" t="s">
        <v>315</v>
      </c>
      <c r="AY15" s="2">
        <v>4</v>
      </c>
      <c r="BD15"/>
      <c r="BE15"/>
      <c r="BF15"/>
    </row>
    <row r="16" spans="1:60" x14ac:dyDescent="0.3">
      <c r="T16" s="48" t="s">
        <v>100</v>
      </c>
      <c r="U16" s="2">
        <v>1</v>
      </c>
      <c r="Z16" s="48" t="s">
        <v>327</v>
      </c>
      <c r="AA16" s="2">
        <v>1</v>
      </c>
      <c r="AX16" s="48" t="s">
        <v>285</v>
      </c>
      <c r="AY16" s="2">
        <v>3</v>
      </c>
      <c r="BD16"/>
      <c r="BE16"/>
      <c r="BF16"/>
    </row>
    <row r="17" spans="4:58" x14ac:dyDescent="0.3">
      <c r="I17" s="2">
        <f>GETPIVOTDATA("المنتج",$H$8)</f>
        <v>126</v>
      </c>
      <c r="O17" s="52">
        <f>GETPIVOTDATA("سعر البيع ",$N$8)</f>
        <v>10260.998535238094</v>
      </c>
      <c r="T17" s="48" t="s">
        <v>311</v>
      </c>
      <c r="U17" s="49">
        <v>126</v>
      </c>
      <c r="Z17" s="48" t="s">
        <v>311</v>
      </c>
      <c r="AA17" s="49">
        <v>126</v>
      </c>
      <c r="AX17" s="48" t="s">
        <v>281</v>
      </c>
      <c r="AY17" s="2">
        <v>2</v>
      </c>
      <c r="BD17"/>
      <c r="BE17"/>
      <c r="BF17"/>
    </row>
    <row r="18" spans="4:58" x14ac:dyDescent="0.3">
      <c r="D18" s="52">
        <f>GETPIVOTDATA("سعر البيع ",$B$8)</f>
        <v>1029329.90544</v>
      </c>
      <c r="T18"/>
      <c r="U18"/>
      <c r="Z18" s="55"/>
      <c r="AA18" s="55"/>
      <c r="AX18" s="48" t="s">
        <v>288</v>
      </c>
      <c r="AY18" s="2">
        <v>1</v>
      </c>
      <c r="BD18"/>
      <c r="BE18"/>
      <c r="BF18"/>
    </row>
    <row r="19" spans="4:58" x14ac:dyDescent="0.3">
      <c r="Z19" s="55"/>
      <c r="AA19" s="55"/>
      <c r="AX19" s="48" t="s">
        <v>311</v>
      </c>
      <c r="AY19" s="2">
        <v>126</v>
      </c>
      <c r="BD19"/>
      <c r="BE19"/>
      <c r="BF19"/>
    </row>
    <row r="20" spans="4:58" x14ac:dyDescent="0.3">
      <c r="Z20" s="55"/>
      <c r="AA20" s="55"/>
      <c r="AX20"/>
      <c r="AY20"/>
      <c r="BD20"/>
      <c r="BE20"/>
      <c r="BF20"/>
    </row>
    <row r="21" spans="4:58" x14ac:dyDescent="0.3">
      <c r="Z21" s="55"/>
      <c r="AA21" s="55"/>
      <c r="AX21"/>
      <c r="AY21"/>
      <c r="BD21"/>
      <c r="BE21"/>
      <c r="BF21"/>
    </row>
    <row r="22" spans="4:58" x14ac:dyDescent="0.3">
      <c r="Z22" s="55"/>
      <c r="AA22" s="55"/>
      <c r="BD22"/>
      <c r="BE22"/>
      <c r="BF22"/>
    </row>
    <row r="23" spans="4:58" x14ac:dyDescent="0.3">
      <c r="Z23" s="55"/>
      <c r="AA23" s="55"/>
      <c r="BD23"/>
      <c r="BE23"/>
      <c r="BF23"/>
    </row>
    <row r="24" spans="4:58" x14ac:dyDescent="0.3">
      <c r="Z24" s="55"/>
      <c r="AA24" s="55"/>
      <c r="BD24"/>
      <c r="BE24"/>
      <c r="BF24"/>
    </row>
    <row r="25" spans="4:58" x14ac:dyDescent="0.3">
      <c r="Z25" s="55"/>
      <c r="AA25" s="55"/>
      <c r="BD25"/>
      <c r="BE25"/>
      <c r="BF25"/>
    </row>
    <row r="26" spans="4:58" x14ac:dyDescent="0.3">
      <c r="Z26" s="55"/>
      <c r="AA26" s="55"/>
    </row>
    <row r="27" spans="4:58" x14ac:dyDescent="0.3">
      <c r="Z27" s="55"/>
      <c r="AA27" s="55"/>
    </row>
    <row r="28" spans="4:58" x14ac:dyDescent="0.3">
      <c r="Z28" s="55"/>
      <c r="AA28" s="55"/>
    </row>
    <row r="29" spans="4:58" x14ac:dyDescent="0.3">
      <c r="Z29" s="55"/>
      <c r="AA29" s="55"/>
    </row>
    <row r="30" spans="4:58" x14ac:dyDescent="0.3">
      <c r="Z30" s="55"/>
      <c r="AA30" s="55"/>
    </row>
    <row r="31" spans="4:58" x14ac:dyDescent="0.3">
      <c r="Z31" s="55"/>
      <c r="AA31" s="55"/>
    </row>
    <row r="32" spans="4:58" x14ac:dyDescent="0.3">
      <c r="Z32" s="55"/>
      <c r="AA32" s="55"/>
    </row>
    <row r="33" spans="26:27" x14ac:dyDescent="0.3">
      <c r="Z33" s="55"/>
      <c r="AA33" s="55"/>
    </row>
    <row r="34" spans="26:27" x14ac:dyDescent="0.3">
      <c r="Z34" s="55"/>
      <c r="AA34" s="55"/>
    </row>
    <row r="35" spans="26:27" x14ac:dyDescent="0.3">
      <c r="Z35" s="55"/>
      <c r="AA35" s="55"/>
    </row>
    <row r="36" spans="26:27" x14ac:dyDescent="0.3">
      <c r="Z36" s="55"/>
      <c r="AA36" s="55"/>
    </row>
    <row r="37" spans="26:27" x14ac:dyDescent="0.3">
      <c r="Z37" s="55"/>
      <c r="AA37" s="55"/>
    </row>
    <row r="38" spans="26:27" x14ac:dyDescent="0.3">
      <c r="Z38" s="55"/>
      <c r="AA38" s="55"/>
    </row>
    <row r="39" spans="26:27" x14ac:dyDescent="0.3">
      <c r="Z39" s="55"/>
      <c r="AA39" s="55"/>
    </row>
    <row r="40" spans="26:27" x14ac:dyDescent="0.3">
      <c r="Z40" s="55"/>
      <c r="AA40" s="55"/>
    </row>
    <row r="41" spans="26:27" x14ac:dyDescent="0.3">
      <c r="Z41" s="55"/>
      <c r="AA41" s="55"/>
    </row>
    <row r="42" spans="26:27" x14ac:dyDescent="0.3">
      <c r="Z42" s="55"/>
      <c r="AA42" s="55"/>
    </row>
    <row r="43" spans="26:27" x14ac:dyDescent="0.3">
      <c r="Z43" s="55"/>
      <c r="AA43" s="55"/>
    </row>
    <row r="44" spans="26:27" x14ac:dyDescent="0.3">
      <c r="Z44" s="55"/>
      <c r="AA44" s="55"/>
    </row>
    <row r="45" spans="26:27" x14ac:dyDescent="0.3">
      <c r="Z45" s="55"/>
      <c r="AA45" s="55"/>
    </row>
    <row r="46" spans="26:27" x14ac:dyDescent="0.3">
      <c r="Z46" s="55"/>
      <c r="AA46" s="55"/>
    </row>
    <row r="47" spans="26:27" x14ac:dyDescent="0.3">
      <c r="Z47" s="55"/>
      <c r="AA47" s="55"/>
    </row>
    <row r="48" spans="26:27" x14ac:dyDescent="0.3">
      <c r="Z48" s="55"/>
      <c r="AA48" s="55"/>
    </row>
    <row r="49" spans="26:27" x14ac:dyDescent="0.3">
      <c r="Z49" s="55"/>
      <c r="AA49" s="55"/>
    </row>
    <row r="50" spans="26:27" x14ac:dyDescent="0.3">
      <c r="Z50" s="55"/>
      <c r="AA50" s="55"/>
    </row>
    <row r="51" spans="26:27" x14ac:dyDescent="0.3">
      <c r="Z51" s="55"/>
      <c r="AA51" s="55"/>
    </row>
    <row r="52" spans="26:27" x14ac:dyDescent="0.3">
      <c r="Z52" s="55"/>
      <c r="AA52" s="55"/>
    </row>
    <row r="53" spans="26:27" x14ac:dyDescent="0.3">
      <c r="Z53" s="55"/>
      <c r="AA53" s="55"/>
    </row>
    <row r="54" spans="26:27" x14ac:dyDescent="0.3">
      <c r="Z54" s="55"/>
      <c r="AA54" s="55"/>
    </row>
    <row r="55" spans="26:27" x14ac:dyDescent="0.3">
      <c r="Z55" s="55"/>
      <c r="AA55" s="55"/>
    </row>
    <row r="56" spans="26:27" x14ac:dyDescent="0.3">
      <c r="Z56" s="55"/>
      <c r="AA56" s="55"/>
    </row>
    <row r="57" spans="26:27" x14ac:dyDescent="0.3">
      <c r="Z57" s="55"/>
      <c r="AA57" s="55"/>
    </row>
    <row r="58" spans="26:27" x14ac:dyDescent="0.3">
      <c r="Z58" s="55"/>
      <c r="AA58" s="55"/>
    </row>
    <row r="59" spans="26:27" x14ac:dyDescent="0.3">
      <c r="Z59" s="55"/>
      <c r="AA59" s="55"/>
    </row>
    <row r="60" spans="26:27" x14ac:dyDescent="0.3">
      <c r="Z60" s="55"/>
      <c r="AA60" s="55"/>
    </row>
    <row r="61" spans="26:27" x14ac:dyDescent="0.3">
      <c r="Z61" s="55"/>
      <c r="AA61" s="55"/>
    </row>
    <row r="62" spans="26:27" x14ac:dyDescent="0.3">
      <c r="Z62" s="55"/>
      <c r="AA62" s="55"/>
    </row>
    <row r="63" spans="26:27" x14ac:dyDescent="0.3">
      <c r="Z63" s="55"/>
      <c r="AA63" s="55"/>
    </row>
    <row r="64" spans="26:27" x14ac:dyDescent="0.3">
      <c r="Z64" s="55"/>
      <c r="AA64" s="55"/>
    </row>
    <row r="65" spans="26:27" x14ac:dyDescent="0.3">
      <c r="Z65" s="55"/>
      <c r="AA65" s="55"/>
    </row>
    <row r="66" spans="26:27" x14ac:dyDescent="0.3">
      <c r="Z66" s="55"/>
      <c r="AA66" s="55"/>
    </row>
    <row r="67" spans="26:27" x14ac:dyDescent="0.3">
      <c r="Z67" s="55"/>
      <c r="AA67" s="55"/>
    </row>
    <row r="68" spans="26:27" x14ac:dyDescent="0.3">
      <c r="Z68" s="55"/>
      <c r="AA68" s="55"/>
    </row>
    <row r="69" spans="26:27" x14ac:dyDescent="0.3">
      <c r="Z69" s="55"/>
      <c r="AA69" s="55"/>
    </row>
    <row r="70" spans="26:27" x14ac:dyDescent="0.3">
      <c r="Z70" s="55"/>
      <c r="AA70" s="55"/>
    </row>
    <row r="71" spans="26:27" x14ac:dyDescent="0.3">
      <c r="Z71" s="55"/>
      <c r="AA71" s="55"/>
    </row>
  </sheetData>
  <mergeCells count="21">
    <mergeCell ref="BC1:BG2"/>
    <mergeCell ref="BH1:BH1048576"/>
    <mergeCell ref="AK1:AO2"/>
    <mergeCell ref="AP1:AP1048576"/>
    <mergeCell ref="AQ1:AU2"/>
    <mergeCell ref="AV1:AV1048576"/>
    <mergeCell ref="AW1:BA2"/>
    <mergeCell ref="BB1:BB1048576"/>
    <mergeCell ref="AJ1:AJ1048576"/>
    <mergeCell ref="A1:E2"/>
    <mergeCell ref="F1:F1048576"/>
    <mergeCell ref="G1:K2"/>
    <mergeCell ref="L1:L1048576"/>
    <mergeCell ref="M1:Q2"/>
    <mergeCell ref="R1:R1048576"/>
    <mergeCell ref="S1:W2"/>
    <mergeCell ref="X1:X1048576"/>
    <mergeCell ref="Y1:AC2"/>
    <mergeCell ref="AD1:AD1048576"/>
    <mergeCell ref="AE1:AI2"/>
    <mergeCell ref="Z18:AA7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8AF5D-21DA-4CCF-87CD-A886EFC34F0E}">
  <dimension ref="A1:X127"/>
  <sheetViews>
    <sheetView workbookViewId="0"/>
  </sheetViews>
  <sheetFormatPr defaultRowHeight="14.4" x14ac:dyDescent="0.3"/>
  <cols>
    <col min="1" max="1" width="34.44140625" bestFit="1" customWidth="1"/>
    <col min="2" max="2" width="12" bestFit="1" customWidth="1"/>
    <col min="3" max="3" width="13.109375" bestFit="1" customWidth="1"/>
    <col min="4" max="4" width="8.77734375" bestFit="1" customWidth="1"/>
    <col min="5" max="5" width="16.6640625" bestFit="1" customWidth="1"/>
    <col min="6" max="6" width="12.77734375" bestFit="1" customWidth="1"/>
    <col min="7" max="7" width="30" bestFit="1" customWidth="1"/>
    <col min="8" max="8" width="29" bestFit="1" customWidth="1"/>
    <col min="9" max="9" width="16.88671875" bestFit="1" customWidth="1"/>
    <col min="10" max="10" width="13.77734375" bestFit="1" customWidth="1"/>
    <col min="11" max="11" width="16.6640625" bestFit="1" customWidth="1"/>
    <col min="12" max="12" width="12.77734375" bestFit="1" customWidth="1"/>
    <col min="13" max="13" width="13.77734375" bestFit="1" customWidth="1"/>
    <col min="14" max="14" width="17.44140625" bestFit="1" customWidth="1"/>
    <col min="15" max="15" width="16" bestFit="1" customWidth="1"/>
    <col min="16" max="16" width="17.33203125" bestFit="1" customWidth="1"/>
    <col min="17" max="17" width="22.5546875" bestFit="1" customWidth="1"/>
    <col min="18" max="18" width="22.21875" bestFit="1" customWidth="1"/>
    <col min="19" max="19" width="22.21875" customWidth="1"/>
    <col min="20" max="20" width="17.5546875" style="9" bestFit="1" customWidth="1"/>
    <col min="21" max="21" width="18.21875" style="9" bestFit="1" customWidth="1"/>
    <col min="22" max="22" width="18.44140625" style="9" bestFit="1" customWidth="1"/>
    <col min="23" max="23" width="23.109375" bestFit="1" customWidth="1"/>
    <col min="24" max="24" width="13.77734375" bestFit="1" customWidth="1"/>
  </cols>
  <sheetData>
    <row r="1" spans="1:24" s="10" customFormat="1" x14ac:dyDescent="0.3">
      <c r="A1" s="10" t="s">
        <v>233</v>
      </c>
      <c r="B1" s="10" t="s">
        <v>239</v>
      </c>
      <c r="C1" s="10" t="s">
        <v>238</v>
      </c>
      <c r="D1" s="10" t="s">
        <v>316</v>
      </c>
      <c r="E1" s="10" t="s">
        <v>242</v>
      </c>
      <c r="F1" s="10" t="s">
        <v>333</v>
      </c>
      <c r="G1" s="10" t="s">
        <v>241</v>
      </c>
      <c r="H1" s="10" t="s">
        <v>280</v>
      </c>
      <c r="I1" s="10" t="s">
        <v>240</v>
      </c>
      <c r="J1" s="10" t="s">
        <v>330</v>
      </c>
      <c r="K1" s="10" t="s">
        <v>331</v>
      </c>
      <c r="L1" s="10" t="s">
        <v>237</v>
      </c>
      <c r="M1" s="10" t="s">
        <v>236</v>
      </c>
      <c r="N1" s="10" t="s">
        <v>235</v>
      </c>
      <c r="O1" s="10" t="s">
        <v>232</v>
      </c>
      <c r="P1" s="10" t="s">
        <v>291</v>
      </c>
      <c r="Q1" s="10" t="s">
        <v>293</v>
      </c>
      <c r="R1" s="10" t="s">
        <v>292</v>
      </c>
      <c r="S1" s="10" t="s">
        <v>338</v>
      </c>
      <c r="T1" s="11" t="s">
        <v>231</v>
      </c>
      <c r="U1" s="11" t="s">
        <v>230</v>
      </c>
      <c r="V1" s="11" t="s">
        <v>229</v>
      </c>
      <c r="W1" s="10" t="s">
        <v>228</v>
      </c>
      <c r="X1" s="10" t="s">
        <v>332</v>
      </c>
    </row>
    <row r="2" spans="1:24" x14ac:dyDescent="0.3">
      <c r="A2" t="s">
        <v>225</v>
      </c>
      <c r="B2" t="s">
        <v>5</v>
      </c>
      <c r="C2" t="s">
        <v>317</v>
      </c>
      <c r="D2" t="s">
        <v>318</v>
      </c>
      <c r="E2" t="s">
        <v>226</v>
      </c>
      <c r="F2" t="s">
        <v>243</v>
      </c>
      <c r="G2" t="s">
        <v>224</v>
      </c>
      <c r="H2" t="s">
        <v>281</v>
      </c>
      <c r="I2" t="s">
        <v>6</v>
      </c>
      <c r="J2" t="s">
        <v>5</v>
      </c>
      <c r="K2" t="s">
        <v>24</v>
      </c>
      <c r="L2" t="s">
        <v>23</v>
      </c>
      <c r="M2">
        <v>90</v>
      </c>
      <c r="N2" t="s">
        <v>81</v>
      </c>
      <c r="O2">
        <v>11455</v>
      </c>
      <c r="P2" t="s">
        <v>295</v>
      </c>
      <c r="Q2">
        <v>0</v>
      </c>
      <c r="R2">
        <v>0</v>
      </c>
      <c r="S2"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2" s="9">
        <v>45500</v>
      </c>
      <c r="W2" t="s">
        <v>219</v>
      </c>
      <c r="X2" t="s">
        <v>0</v>
      </c>
    </row>
    <row r="3" spans="1:24" x14ac:dyDescent="0.3">
      <c r="A3" t="s">
        <v>223</v>
      </c>
      <c r="B3" t="s">
        <v>5</v>
      </c>
      <c r="C3" t="s">
        <v>3</v>
      </c>
      <c r="D3" t="s">
        <v>319</v>
      </c>
      <c r="E3" t="s">
        <v>244</v>
      </c>
      <c r="F3" t="s">
        <v>243</v>
      </c>
      <c r="G3" t="s">
        <v>224</v>
      </c>
      <c r="H3" t="s">
        <v>281</v>
      </c>
      <c r="I3" t="s">
        <v>6</v>
      </c>
      <c r="J3" t="s">
        <v>5</v>
      </c>
      <c r="K3" t="s">
        <v>24</v>
      </c>
      <c r="L3" t="s">
        <v>3</v>
      </c>
      <c r="M3">
        <v>100</v>
      </c>
      <c r="N3" t="s">
        <v>45</v>
      </c>
      <c r="O3">
        <v>12833</v>
      </c>
      <c r="P3" t="s">
        <v>295</v>
      </c>
      <c r="Q3">
        <v>15</v>
      </c>
      <c r="R3">
        <v>0</v>
      </c>
      <c r="S3"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3" s="9">
        <v>45520</v>
      </c>
      <c r="U3" s="9">
        <v>45535</v>
      </c>
      <c r="W3" t="s">
        <v>219</v>
      </c>
      <c r="X3" t="s">
        <v>0</v>
      </c>
    </row>
    <row r="4" spans="1:24" x14ac:dyDescent="0.3">
      <c r="A4" t="s">
        <v>56</v>
      </c>
      <c r="B4" t="s">
        <v>320</v>
      </c>
      <c r="C4" t="s">
        <v>321</v>
      </c>
      <c r="D4" t="s">
        <v>322</v>
      </c>
      <c r="E4" t="s">
        <v>245</v>
      </c>
      <c r="F4" t="s">
        <v>243</v>
      </c>
      <c r="G4" t="s">
        <v>151</v>
      </c>
      <c r="H4" t="s">
        <v>282</v>
      </c>
      <c r="I4" t="s">
        <v>6</v>
      </c>
      <c r="J4" t="s">
        <v>41</v>
      </c>
      <c r="K4" t="s">
        <v>57</v>
      </c>
      <c r="O4">
        <v>7849</v>
      </c>
      <c r="P4" t="s">
        <v>1</v>
      </c>
      <c r="Q4">
        <v>12</v>
      </c>
      <c r="R4">
        <v>21</v>
      </c>
      <c r="S4"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4" s="9">
        <v>45539</v>
      </c>
      <c r="U4" s="9">
        <v>45551</v>
      </c>
      <c r="V4" s="9">
        <v>45560</v>
      </c>
      <c r="W4" t="s">
        <v>294</v>
      </c>
      <c r="X4" t="s">
        <v>222</v>
      </c>
    </row>
    <row r="5" spans="1:24" x14ac:dyDescent="0.3">
      <c r="A5" t="s">
        <v>220</v>
      </c>
      <c r="B5" t="s">
        <v>5</v>
      </c>
      <c r="C5" t="s">
        <v>321</v>
      </c>
      <c r="D5" t="s">
        <v>323</v>
      </c>
      <c r="E5" t="s">
        <v>221</v>
      </c>
      <c r="F5" t="s">
        <v>243</v>
      </c>
      <c r="G5" t="s">
        <v>12</v>
      </c>
      <c r="H5" t="s">
        <v>133</v>
      </c>
      <c r="I5" t="s">
        <v>6</v>
      </c>
      <c r="J5" t="s">
        <v>5</v>
      </c>
      <c r="K5" t="s">
        <v>38</v>
      </c>
      <c r="N5" t="s">
        <v>15</v>
      </c>
      <c r="O5">
        <v>9399</v>
      </c>
      <c r="P5" t="s">
        <v>1</v>
      </c>
      <c r="Q5">
        <v>8</v>
      </c>
      <c r="R5">
        <v>0</v>
      </c>
      <c r="S5"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5" s="9">
        <v>45549</v>
      </c>
      <c r="U5" s="9">
        <v>45557</v>
      </c>
      <c r="W5" t="s">
        <v>219</v>
      </c>
      <c r="X5" t="s">
        <v>0</v>
      </c>
    </row>
    <row r="6" spans="1:24" x14ac:dyDescent="0.3">
      <c r="A6" t="s">
        <v>216</v>
      </c>
      <c r="B6" t="s">
        <v>5</v>
      </c>
      <c r="C6" t="s">
        <v>321</v>
      </c>
      <c r="D6" t="s">
        <v>323</v>
      </c>
      <c r="E6" t="s">
        <v>218</v>
      </c>
      <c r="F6" t="s">
        <v>243</v>
      </c>
      <c r="G6" t="s">
        <v>217</v>
      </c>
      <c r="H6" t="s">
        <v>283</v>
      </c>
      <c r="I6" t="s">
        <v>96</v>
      </c>
      <c r="J6" t="s">
        <v>5</v>
      </c>
      <c r="K6" t="s">
        <v>168</v>
      </c>
      <c r="L6" t="s">
        <v>23</v>
      </c>
      <c r="M6">
        <v>100</v>
      </c>
      <c r="N6" t="s">
        <v>15</v>
      </c>
      <c r="O6">
        <v>9450</v>
      </c>
      <c r="P6" t="s">
        <v>295</v>
      </c>
      <c r="Q6">
        <v>14</v>
      </c>
      <c r="R6">
        <v>0</v>
      </c>
      <c r="S6"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6" s="9">
        <v>45547</v>
      </c>
      <c r="U6" s="9">
        <v>45561</v>
      </c>
      <c r="X6" t="s">
        <v>0</v>
      </c>
    </row>
    <row r="7" spans="1:24" x14ac:dyDescent="0.3">
      <c r="A7" t="s">
        <v>214</v>
      </c>
      <c r="B7" t="s">
        <v>5</v>
      </c>
      <c r="C7" t="s">
        <v>321</v>
      </c>
      <c r="D7" t="s">
        <v>324</v>
      </c>
      <c r="E7" t="s">
        <v>246</v>
      </c>
      <c r="F7" t="s">
        <v>243</v>
      </c>
      <c r="G7" t="s">
        <v>215</v>
      </c>
      <c r="H7" t="s">
        <v>283</v>
      </c>
      <c r="I7" t="s">
        <v>6</v>
      </c>
      <c r="J7" t="s">
        <v>5</v>
      </c>
      <c r="K7" t="s">
        <v>38</v>
      </c>
      <c r="O7">
        <v>10160</v>
      </c>
      <c r="P7" t="s">
        <v>1</v>
      </c>
      <c r="Q7">
        <v>0</v>
      </c>
      <c r="R7">
        <v>14</v>
      </c>
      <c r="S7"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7" s="9">
        <v>45500</v>
      </c>
      <c r="V7" s="9">
        <v>45514</v>
      </c>
      <c r="W7" t="s">
        <v>294</v>
      </c>
      <c r="X7" t="s">
        <v>68</v>
      </c>
    </row>
    <row r="8" spans="1:24" x14ac:dyDescent="0.3">
      <c r="A8" t="s">
        <v>212</v>
      </c>
      <c r="B8" t="s">
        <v>5</v>
      </c>
      <c r="C8" t="s">
        <v>321</v>
      </c>
      <c r="D8" t="s">
        <v>323</v>
      </c>
      <c r="E8" t="s">
        <v>211</v>
      </c>
      <c r="F8" t="s">
        <v>243</v>
      </c>
      <c r="G8" t="s">
        <v>213</v>
      </c>
      <c r="H8" t="s">
        <v>284</v>
      </c>
      <c r="I8" t="s">
        <v>6</v>
      </c>
      <c r="J8" t="s">
        <v>5</v>
      </c>
      <c r="K8" t="s">
        <v>38</v>
      </c>
      <c r="O8">
        <v>10160</v>
      </c>
      <c r="P8" t="s">
        <v>295</v>
      </c>
      <c r="Q8">
        <v>0</v>
      </c>
      <c r="R8">
        <v>14</v>
      </c>
      <c r="S8"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8" s="9">
        <v>45501</v>
      </c>
      <c r="V8" s="9">
        <v>45515</v>
      </c>
      <c r="W8" t="s">
        <v>294</v>
      </c>
      <c r="X8" t="s">
        <v>68</v>
      </c>
    </row>
    <row r="9" spans="1:24" x14ac:dyDescent="0.3">
      <c r="A9" t="s">
        <v>163</v>
      </c>
      <c r="B9" t="s">
        <v>320</v>
      </c>
      <c r="C9" t="s">
        <v>321</v>
      </c>
      <c r="D9" t="s">
        <v>322</v>
      </c>
      <c r="E9" t="s">
        <v>210</v>
      </c>
      <c r="F9" t="s">
        <v>243</v>
      </c>
      <c r="G9" t="s">
        <v>173</v>
      </c>
      <c r="H9" t="s">
        <v>285</v>
      </c>
      <c r="I9" t="s">
        <v>6</v>
      </c>
      <c r="J9" t="s">
        <v>41</v>
      </c>
      <c r="O9">
        <v>8642</v>
      </c>
      <c r="P9" t="s">
        <v>1</v>
      </c>
      <c r="Q9">
        <v>13</v>
      </c>
      <c r="R9">
        <v>2</v>
      </c>
      <c r="S9"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9" s="9">
        <v>45529</v>
      </c>
      <c r="U9" s="9">
        <v>45542</v>
      </c>
      <c r="V9" s="9">
        <v>45531</v>
      </c>
      <c r="W9" t="s">
        <v>294</v>
      </c>
      <c r="X9" t="s">
        <v>68</v>
      </c>
    </row>
    <row r="10" spans="1:24" x14ac:dyDescent="0.3">
      <c r="A10" t="s">
        <v>208</v>
      </c>
      <c r="B10" t="s">
        <v>5</v>
      </c>
      <c r="C10" t="s">
        <v>321</v>
      </c>
      <c r="D10" t="s">
        <v>319</v>
      </c>
      <c r="E10" t="s">
        <v>32</v>
      </c>
      <c r="F10" t="s">
        <v>247</v>
      </c>
      <c r="H10" t="s">
        <v>314</v>
      </c>
      <c r="I10" t="s">
        <v>32</v>
      </c>
      <c r="J10" t="s">
        <v>209</v>
      </c>
      <c r="K10" t="s">
        <v>46</v>
      </c>
      <c r="O10">
        <v>14550</v>
      </c>
      <c r="P10" t="s">
        <v>1</v>
      </c>
      <c r="Q10">
        <v>20</v>
      </c>
      <c r="R10">
        <v>22</v>
      </c>
      <c r="S10"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10" s="9">
        <v>45518</v>
      </c>
      <c r="U10" s="9">
        <v>45538</v>
      </c>
      <c r="V10" s="9">
        <v>45540</v>
      </c>
      <c r="W10" t="s">
        <v>294</v>
      </c>
      <c r="X10" t="s">
        <v>68</v>
      </c>
    </row>
    <row r="11" spans="1:24" x14ac:dyDescent="0.3">
      <c r="A11" t="s">
        <v>208</v>
      </c>
      <c r="B11" t="s">
        <v>5</v>
      </c>
      <c r="C11" t="s">
        <v>321</v>
      </c>
      <c r="D11" t="s">
        <v>319</v>
      </c>
      <c r="E11" t="s">
        <v>248</v>
      </c>
      <c r="F11" t="s">
        <v>243</v>
      </c>
      <c r="G11" t="s">
        <v>103</v>
      </c>
      <c r="H11" t="s">
        <v>282</v>
      </c>
      <c r="I11" t="s">
        <v>96</v>
      </c>
      <c r="J11" t="s">
        <v>209</v>
      </c>
      <c r="K11" t="s">
        <v>46</v>
      </c>
      <c r="O11">
        <v>12000</v>
      </c>
      <c r="P11" t="s">
        <v>295</v>
      </c>
      <c r="Q11">
        <v>3</v>
      </c>
      <c r="R11">
        <v>2</v>
      </c>
      <c r="S11"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11" s="9">
        <v>45521</v>
      </c>
      <c r="U11" s="9">
        <v>45524</v>
      </c>
      <c r="V11" s="9">
        <v>45523</v>
      </c>
      <c r="W11" t="s">
        <v>294</v>
      </c>
      <c r="X11" t="s">
        <v>68</v>
      </c>
    </row>
    <row r="12" spans="1:24" x14ac:dyDescent="0.3">
      <c r="A12" t="s">
        <v>206</v>
      </c>
      <c r="B12" t="s">
        <v>5</v>
      </c>
      <c r="C12" t="s">
        <v>321</v>
      </c>
      <c r="D12" t="s">
        <v>324</v>
      </c>
      <c r="E12" t="s">
        <v>207</v>
      </c>
      <c r="F12" t="s">
        <v>243</v>
      </c>
      <c r="G12" t="s">
        <v>64</v>
      </c>
      <c r="H12" t="s">
        <v>283</v>
      </c>
      <c r="I12" t="s">
        <v>6</v>
      </c>
      <c r="J12" t="s">
        <v>5</v>
      </c>
      <c r="K12" t="s">
        <v>52</v>
      </c>
      <c r="O12">
        <v>7228</v>
      </c>
      <c r="P12" t="s">
        <v>1</v>
      </c>
      <c r="Q12">
        <v>9</v>
      </c>
      <c r="R12">
        <v>16</v>
      </c>
      <c r="S12"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12" s="9">
        <v>45529</v>
      </c>
      <c r="U12" s="9">
        <v>45538</v>
      </c>
      <c r="V12" s="9">
        <v>45545</v>
      </c>
      <c r="W12" t="s">
        <v>294</v>
      </c>
      <c r="X12" t="s">
        <v>68</v>
      </c>
    </row>
    <row r="13" spans="1:24" x14ac:dyDescent="0.3">
      <c r="A13" t="s">
        <v>203</v>
      </c>
      <c r="B13" t="s">
        <v>205</v>
      </c>
      <c r="C13" t="s">
        <v>321</v>
      </c>
      <c r="D13" t="s">
        <v>322</v>
      </c>
      <c r="E13" t="s">
        <v>249</v>
      </c>
      <c r="F13" t="s">
        <v>247</v>
      </c>
      <c r="G13" t="s">
        <v>67</v>
      </c>
      <c r="H13" t="s">
        <v>282</v>
      </c>
      <c r="I13" t="s">
        <v>91</v>
      </c>
      <c r="J13" t="s">
        <v>205</v>
      </c>
      <c r="K13" t="s">
        <v>204</v>
      </c>
      <c r="O13">
        <v>22000</v>
      </c>
      <c r="P13" t="s">
        <v>295</v>
      </c>
      <c r="Q13">
        <v>13</v>
      </c>
      <c r="R13">
        <v>29</v>
      </c>
      <c r="S13"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13" s="9">
        <v>45523</v>
      </c>
      <c r="U13" s="9">
        <v>45536</v>
      </c>
      <c r="V13" s="9">
        <v>45552</v>
      </c>
      <c r="X13" t="s">
        <v>68</v>
      </c>
    </row>
    <row r="14" spans="1:24" x14ac:dyDescent="0.3">
      <c r="A14" t="s">
        <v>202</v>
      </c>
      <c r="B14" t="s">
        <v>47</v>
      </c>
      <c r="C14" t="s">
        <v>321</v>
      </c>
      <c r="D14" t="s">
        <v>322</v>
      </c>
      <c r="E14" t="s">
        <v>249</v>
      </c>
      <c r="F14" t="s">
        <v>247</v>
      </c>
      <c r="G14" t="s">
        <v>30</v>
      </c>
      <c r="H14" t="s">
        <v>282</v>
      </c>
      <c r="I14" t="s">
        <v>91</v>
      </c>
      <c r="J14" t="s">
        <v>209</v>
      </c>
      <c r="K14" t="s">
        <v>66</v>
      </c>
      <c r="O14">
        <v>6000</v>
      </c>
      <c r="P14" t="s">
        <v>295</v>
      </c>
      <c r="Q14">
        <v>21</v>
      </c>
      <c r="R14">
        <v>23</v>
      </c>
      <c r="S14"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14" s="9">
        <v>45529</v>
      </c>
      <c r="U14" s="9">
        <v>45550</v>
      </c>
      <c r="V14" s="9">
        <v>45552</v>
      </c>
      <c r="W14" t="s">
        <v>69</v>
      </c>
      <c r="X14" t="s">
        <v>68</v>
      </c>
    </row>
    <row r="15" spans="1:24" x14ac:dyDescent="0.3">
      <c r="A15" t="s">
        <v>202</v>
      </c>
      <c r="B15" t="s">
        <v>47</v>
      </c>
      <c r="C15" t="s">
        <v>321</v>
      </c>
      <c r="D15" t="s">
        <v>322</v>
      </c>
      <c r="E15" t="s">
        <v>249</v>
      </c>
      <c r="F15" t="s">
        <v>247</v>
      </c>
      <c r="G15" t="s">
        <v>30</v>
      </c>
      <c r="H15" t="s">
        <v>282</v>
      </c>
      <c r="I15" t="s">
        <v>91</v>
      </c>
      <c r="J15" t="s">
        <v>209</v>
      </c>
      <c r="K15" t="s">
        <v>66</v>
      </c>
      <c r="O15">
        <v>6000</v>
      </c>
      <c r="P15" t="s">
        <v>295</v>
      </c>
      <c r="Q15">
        <v>21</v>
      </c>
      <c r="R15">
        <v>23</v>
      </c>
      <c r="S15"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15" s="9">
        <v>45529</v>
      </c>
      <c r="U15" s="9">
        <v>45550</v>
      </c>
      <c r="V15" s="9">
        <v>45552</v>
      </c>
      <c r="W15" t="s">
        <v>69</v>
      </c>
      <c r="X15" t="s">
        <v>68</v>
      </c>
    </row>
    <row r="16" spans="1:24" x14ac:dyDescent="0.3">
      <c r="A16" t="s">
        <v>201</v>
      </c>
      <c r="B16" t="s">
        <v>5</v>
      </c>
      <c r="C16" t="s">
        <v>3</v>
      </c>
      <c r="D16" t="s">
        <v>324</v>
      </c>
      <c r="E16" t="s">
        <v>250</v>
      </c>
      <c r="F16" t="s">
        <v>243</v>
      </c>
      <c r="G16" t="s">
        <v>97</v>
      </c>
      <c r="H16" t="s">
        <v>282</v>
      </c>
      <c r="I16" t="s">
        <v>6</v>
      </c>
      <c r="J16" t="s">
        <v>5</v>
      </c>
      <c r="K16" t="s">
        <v>24</v>
      </c>
      <c r="L16" t="s">
        <v>3</v>
      </c>
      <c r="M16">
        <v>80</v>
      </c>
      <c r="N16" t="s">
        <v>2</v>
      </c>
      <c r="O16">
        <v>10499</v>
      </c>
      <c r="P16" t="s">
        <v>295</v>
      </c>
      <c r="Q16">
        <v>15</v>
      </c>
      <c r="R16">
        <v>7</v>
      </c>
      <c r="S16"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16" s="9">
        <v>45536</v>
      </c>
      <c r="U16" s="9">
        <v>45551</v>
      </c>
      <c r="V16" s="9">
        <v>45543</v>
      </c>
      <c r="W16" t="s">
        <v>294</v>
      </c>
      <c r="X16" t="s">
        <v>68</v>
      </c>
    </row>
    <row r="17" spans="1:24" x14ac:dyDescent="0.3">
      <c r="A17" t="s">
        <v>199</v>
      </c>
      <c r="B17" t="s">
        <v>5</v>
      </c>
      <c r="C17" t="s">
        <v>317</v>
      </c>
      <c r="D17" t="s">
        <v>323</v>
      </c>
      <c r="E17" t="s">
        <v>251</v>
      </c>
      <c r="F17" t="s">
        <v>243</v>
      </c>
      <c r="G17" t="s">
        <v>200</v>
      </c>
      <c r="H17" t="s">
        <v>282</v>
      </c>
      <c r="I17" t="s">
        <v>35</v>
      </c>
      <c r="J17" t="s">
        <v>5</v>
      </c>
      <c r="K17" t="s">
        <v>24</v>
      </c>
      <c r="L17" t="s">
        <v>23</v>
      </c>
      <c r="M17">
        <v>120</v>
      </c>
      <c r="N17" t="s">
        <v>15</v>
      </c>
      <c r="O17">
        <v>6180</v>
      </c>
      <c r="P17" t="s">
        <v>295</v>
      </c>
      <c r="Q17">
        <v>13</v>
      </c>
      <c r="R17">
        <v>12</v>
      </c>
      <c r="S17"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17" s="9">
        <v>45538</v>
      </c>
      <c r="U17" s="9">
        <v>45551</v>
      </c>
      <c r="V17" s="9">
        <v>45550</v>
      </c>
      <c r="W17" t="s">
        <v>69</v>
      </c>
      <c r="X17" t="s">
        <v>68</v>
      </c>
    </row>
    <row r="18" spans="1:24" x14ac:dyDescent="0.3">
      <c r="A18" t="s">
        <v>199</v>
      </c>
      <c r="B18" t="s">
        <v>5</v>
      </c>
      <c r="C18" t="s">
        <v>317</v>
      </c>
      <c r="D18" t="s">
        <v>323</v>
      </c>
      <c r="E18" t="s">
        <v>251</v>
      </c>
      <c r="F18" t="s">
        <v>243</v>
      </c>
      <c r="G18" t="s">
        <v>200</v>
      </c>
      <c r="H18" t="s">
        <v>282</v>
      </c>
      <c r="I18" t="s">
        <v>35</v>
      </c>
      <c r="J18" t="s">
        <v>5</v>
      </c>
      <c r="K18" t="s">
        <v>24</v>
      </c>
      <c r="L18" t="s">
        <v>23</v>
      </c>
      <c r="M18">
        <v>120</v>
      </c>
      <c r="N18" t="s">
        <v>15</v>
      </c>
      <c r="O18">
        <v>6180</v>
      </c>
      <c r="P18" t="s">
        <v>295</v>
      </c>
      <c r="Q18">
        <v>13</v>
      </c>
      <c r="R18">
        <v>12</v>
      </c>
      <c r="S18"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18" s="9">
        <v>45538</v>
      </c>
      <c r="U18" s="9">
        <v>45551</v>
      </c>
      <c r="V18" s="9">
        <v>45550</v>
      </c>
      <c r="W18" t="s">
        <v>69</v>
      </c>
      <c r="X18" t="s">
        <v>68</v>
      </c>
    </row>
    <row r="19" spans="1:24" x14ac:dyDescent="0.3">
      <c r="A19" t="s">
        <v>195</v>
      </c>
      <c r="B19" t="s">
        <v>5</v>
      </c>
      <c r="C19" t="s">
        <v>321</v>
      </c>
      <c r="D19" t="s">
        <v>324</v>
      </c>
      <c r="E19" t="s">
        <v>248</v>
      </c>
      <c r="F19" t="s">
        <v>243</v>
      </c>
      <c r="G19" t="s">
        <v>17</v>
      </c>
      <c r="H19" t="s">
        <v>282</v>
      </c>
      <c r="I19" t="s">
        <v>6</v>
      </c>
      <c r="J19" t="s">
        <v>5</v>
      </c>
      <c r="K19" t="s">
        <v>52</v>
      </c>
      <c r="L19" t="s">
        <v>51</v>
      </c>
      <c r="M19">
        <v>80</v>
      </c>
      <c r="N19" t="s">
        <v>2</v>
      </c>
      <c r="O19">
        <v>7987</v>
      </c>
      <c r="P19" t="s">
        <v>1</v>
      </c>
      <c r="Q19">
        <v>10</v>
      </c>
      <c r="R19">
        <v>15</v>
      </c>
      <c r="S19"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19" s="9">
        <v>45541</v>
      </c>
      <c r="U19" s="9">
        <v>45551</v>
      </c>
      <c r="V19" s="9">
        <v>45556</v>
      </c>
      <c r="W19" t="s">
        <v>69</v>
      </c>
      <c r="X19" t="s">
        <v>68</v>
      </c>
    </row>
    <row r="20" spans="1:24" x14ac:dyDescent="0.3">
      <c r="A20" t="s">
        <v>196</v>
      </c>
      <c r="B20" t="s">
        <v>325</v>
      </c>
      <c r="C20" t="s">
        <v>321</v>
      </c>
      <c r="D20" t="s">
        <v>322</v>
      </c>
      <c r="E20" t="s">
        <v>249</v>
      </c>
      <c r="F20" t="s">
        <v>247</v>
      </c>
      <c r="G20" t="s">
        <v>67</v>
      </c>
      <c r="H20" t="s">
        <v>282</v>
      </c>
      <c r="I20" t="s">
        <v>91</v>
      </c>
      <c r="J20" t="s">
        <v>198</v>
      </c>
      <c r="K20" t="s">
        <v>197</v>
      </c>
      <c r="O20">
        <v>9300</v>
      </c>
      <c r="P20" t="s">
        <v>295</v>
      </c>
      <c r="Q20">
        <v>11</v>
      </c>
      <c r="R20">
        <v>13</v>
      </c>
      <c r="S20"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20" s="9">
        <v>45539</v>
      </c>
      <c r="U20" s="9">
        <v>45550</v>
      </c>
      <c r="V20" s="9">
        <v>45552</v>
      </c>
      <c r="W20" t="s">
        <v>69</v>
      </c>
      <c r="X20" t="s">
        <v>68</v>
      </c>
    </row>
    <row r="21" spans="1:24" x14ac:dyDescent="0.3">
      <c r="A21" t="s">
        <v>195</v>
      </c>
      <c r="B21" t="s">
        <v>5</v>
      </c>
      <c r="C21" t="s">
        <v>321</v>
      </c>
      <c r="D21" t="s">
        <v>324</v>
      </c>
      <c r="E21" t="s">
        <v>248</v>
      </c>
      <c r="F21" t="s">
        <v>243</v>
      </c>
      <c r="G21" t="s">
        <v>17</v>
      </c>
      <c r="H21" t="s">
        <v>282</v>
      </c>
      <c r="I21" t="s">
        <v>6</v>
      </c>
      <c r="J21" t="s">
        <v>5</v>
      </c>
      <c r="K21" t="s">
        <v>52</v>
      </c>
      <c r="L21" t="s">
        <v>51</v>
      </c>
      <c r="M21">
        <v>80</v>
      </c>
      <c r="N21" t="s">
        <v>2</v>
      </c>
      <c r="O21">
        <v>7987</v>
      </c>
      <c r="P21" t="s">
        <v>1</v>
      </c>
      <c r="Q21">
        <v>10</v>
      </c>
      <c r="R21">
        <v>15</v>
      </c>
      <c r="S21"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21" s="9">
        <v>45541</v>
      </c>
      <c r="U21" s="9">
        <v>45551</v>
      </c>
      <c r="V21" s="9">
        <v>45556</v>
      </c>
      <c r="W21" t="s">
        <v>69</v>
      </c>
      <c r="X21" t="s">
        <v>68</v>
      </c>
    </row>
    <row r="22" spans="1:24" x14ac:dyDescent="0.3">
      <c r="A22" t="s">
        <v>195</v>
      </c>
      <c r="B22" t="s">
        <v>5</v>
      </c>
      <c r="C22" t="s">
        <v>321</v>
      </c>
      <c r="D22" t="s">
        <v>324</v>
      </c>
      <c r="E22" t="s">
        <v>248</v>
      </c>
      <c r="F22" t="s">
        <v>243</v>
      </c>
      <c r="G22" t="s">
        <v>17</v>
      </c>
      <c r="H22" t="s">
        <v>282</v>
      </c>
      <c r="I22" t="s">
        <v>6</v>
      </c>
      <c r="J22" t="s">
        <v>5</v>
      </c>
      <c r="K22" t="s">
        <v>52</v>
      </c>
      <c r="L22" t="s">
        <v>51</v>
      </c>
      <c r="M22">
        <v>80</v>
      </c>
      <c r="N22" t="s">
        <v>2</v>
      </c>
      <c r="O22">
        <v>7987</v>
      </c>
      <c r="P22" t="s">
        <v>1</v>
      </c>
      <c r="Q22">
        <v>10</v>
      </c>
      <c r="R22">
        <v>15</v>
      </c>
      <c r="S22"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22" s="9">
        <v>45541</v>
      </c>
      <c r="U22" s="9">
        <v>45551</v>
      </c>
      <c r="V22" s="9">
        <v>45556</v>
      </c>
      <c r="W22" t="s">
        <v>69</v>
      </c>
      <c r="X22" t="s">
        <v>68</v>
      </c>
    </row>
    <row r="23" spans="1:24" x14ac:dyDescent="0.3">
      <c r="A23" t="s">
        <v>195</v>
      </c>
      <c r="B23" t="s">
        <v>5</v>
      </c>
      <c r="C23" t="s">
        <v>321</v>
      </c>
      <c r="D23" t="s">
        <v>324</v>
      </c>
      <c r="E23" t="s">
        <v>248</v>
      </c>
      <c r="F23" t="s">
        <v>243</v>
      </c>
      <c r="G23" t="s">
        <v>17</v>
      </c>
      <c r="H23" t="s">
        <v>282</v>
      </c>
      <c r="I23" t="s">
        <v>6</v>
      </c>
      <c r="J23" t="s">
        <v>5</v>
      </c>
      <c r="K23" t="s">
        <v>52</v>
      </c>
      <c r="L23" t="s">
        <v>51</v>
      </c>
      <c r="M23">
        <v>80</v>
      </c>
      <c r="N23" t="s">
        <v>2</v>
      </c>
      <c r="O23">
        <v>7987</v>
      </c>
      <c r="P23" t="s">
        <v>1</v>
      </c>
      <c r="Q23">
        <v>10</v>
      </c>
      <c r="R23">
        <v>15</v>
      </c>
      <c r="S23"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23" s="9">
        <v>45541</v>
      </c>
      <c r="U23" s="9">
        <v>45551</v>
      </c>
      <c r="V23" s="9">
        <v>45556</v>
      </c>
      <c r="W23" t="s">
        <v>69</v>
      </c>
      <c r="X23" t="s">
        <v>68</v>
      </c>
    </row>
    <row r="24" spans="1:24" x14ac:dyDescent="0.3">
      <c r="A24" t="s">
        <v>193</v>
      </c>
      <c r="B24" t="s">
        <v>5</v>
      </c>
      <c r="C24" t="s">
        <v>326</v>
      </c>
      <c r="D24" t="s">
        <v>324</v>
      </c>
      <c r="E24" t="s">
        <v>194</v>
      </c>
      <c r="F24" t="s">
        <v>243</v>
      </c>
      <c r="G24" t="s">
        <v>64</v>
      </c>
      <c r="H24" t="s">
        <v>283</v>
      </c>
      <c r="I24" t="s">
        <v>6</v>
      </c>
      <c r="J24" t="s">
        <v>5</v>
      </c>
      <c r="K24" t="s">
        <v>52</v>
      </c>
      <c r="L24" t="s">
        <v>110</v>
      </c>
      <c r="M24">
        <v>120</v>
      </c>
      <c r="N24" t="s">
        <v>2</v>
      </c>
      <c r="O24">
        <v>10987</v>
      </c>
      <c r="P24" t="s">
        <v>1</v>
      </c>
      <c r="Q24">
        <v>8</v>
      </c>
      <c r="R24">
        <v>12</v>
      </c>
      <c r="S24"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24" s="9">
        <v>45544</v>
      </c>
      <c r="U24" s="9">
        <v>45552</v>
      </c>
      <c r="V24" s="9">
        <v>45556</v>
      </c>
      <c r="W24" t="s">
        <v>69</v>
      </c>
      <c r="X24" t="s">
        <v>68</v>
      </c>
    </row>
    <row r="25" spans="1:24" x14ac:dyDescent="0.3">
      <c r="A25" t="s">
        <v>192</v>
      </c>
      <c r="B25" t="s">
        <v>5</v>
      </c>
      <c r="C25" t="s">
        <v>31</v>
      </c>
      <c r="D25" t="s">
        <v>324</v>
      </c>
      <c r="E25" t="s">
        <v>32</v>
      </c>
      <c r="F25" t="s">
        <v>247</v>
      </c>
      <c r="H25" t="s">
        <v>314</v>
      </c>
      <c r="I25" t="s">
        <v>32</v>
      </c>
      <c r="J25" t="s">
        <v>5</v>
      </c>
      <c r="K25" t="s">
        <v>24</v>
      </c>
      <c r="L25" t="s">
        <v>31</v>
      </c>
      <c r="M25">
        <v>100</v>
      </c>
      <c r="N25" t="s">
        <v>2</v>
      </c>
      <c r="O25">
        <v>9208</v>
      </c>
      <c r="P25" t="s">
        <v>295</v>
      </c>
      <c r="Q25">
        <v>18</v>
      </c>
      <c r="R25">
        <v>20</v>
      </c>
      <c r="S25"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25" s="9">
        <v>45536</v>
      </c>
      <c r="U25" s="9">
        <v>45554</v>
      </c>
      <c r="V25" s="9">
        <v>45556</v>
      </c>
      <c r="W25" t="s">
        <v>69</v>
      </c>
      <c r="X25" t="s">
        <v>68</v>
      </c>
    </row>
    <row r="26" spans="1:24" x14ac:dyDescent="0.3">
      <c r="A26" t="s">
        <v>191</v>
      </c>
      <c r="B26" t="s">
        <v>5</v>
      </c>
      <c r="C26" t="s">
        <v>31</v>
      </c>
      <c r="D26" t="s">
        <v>323</v>
      </c>
      <c r="E26" t="s">
        <v>32</v>
      </c>
      <c r="F26" t="s">
        <v>247</v>
      </c>
      <c r="H26" t="s">
        <v>314</v>
      </c>
      <c r="I26" t="s">
        <v>32</v>
      </c>
      <c r="J26" t="s">
        <v>5</v>
      </c>
      <c r="K26" t="s">
        <v>24</v>
      </c>
      <c r="L26" t="s">
        <v>31</v>
      </c>
      <c r="M26">
        <v>100</v>
      </c>
      <c r="N26" t="s">
        <v>15</v>
      </c>
      <c r="O26">
        <v>9208</v>
      </c>
      <c r="P26" t="s">
        <v>295</v>
      </c>
      <c r="Q26">
        <v>18</v>
      </c>
      <c r="R26">
        <v>20</v>
      </c>
      <c r="S26"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26" s="9">
        <v>45536</v>
      </c>
      <c r="U26" s="9">
        <v>45554</v>
      </c>
      <c r="V26" s="9">
        <v>45556</v>
      </c>
      <c r="W26" t="s">
        <v>69</v>
      </c>
      <c r="X26" t="s">
        <v>68</v>
      </c>
    </row>
    <row r="27" spans="1:24" x14ac:dyDescent="0.3">
      <c r="A27" t="s">
        <v>190</v>
      </c>
      <c r="B27" t="s">
        <v>5</v>
      </c>
      <c r="C27" t="s">
        <v>51</v>
      </c>
      <c r="D27" t="s">
        <v>324</v>
      </c>
      <c r="E27" t="s">
        <v>37</v>
      </c>
      <c r="F27" t="s">
        <v>247</v>
      </c>
      <c r="G27" t="s">
        <v>189</v>
      </c>
      <c r="H27" t="s">
        <v>287</v>
      </c>
      <c r="I27" t="s">
        <v>35</v>
      </c>
      <c r="J27" t="s">
        <v>5</v>
      </c>
      <c r="K27" t="s">
        <v>52</v>
      </c>
      <c r="L27" t="s">
        <v>51</v>
      </c>
      <c r="M27">
        <v>120</v>
      </c>
      <c r="N27" t="s">
        <v>2</v>
      </c>
      <c r="O27">
        <v>4020</v>
      </c>
      <c r="P27" t="s">
        <v>27</v>
      </c>
      <c r="Q27">
        <v>9</v>
      </c>
      <c r="R27">
        <v>10</v>
      </c>
      <c r="S27"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27" s="9">
        <v>45547</v>
      </c>
      <c r="U27" s="9">
        <v>45556</v>
      </c>
      <c r="V27" s="9">
        <v>45557</v>
      </c>
      <c r="W27" t="s">
        <v>69</v>
      </c>
      <c r="X27" t="s">
        <v>68</v>
      </c>
    </row>
    <row r="28" spans="1:24" x14ac:dyDescent="0.3">
      <c r="A28" t="s">
        <v>190</v>
      </c>
      <c r="B28" t="s">
        <v>5</v>
      </c>
      <c r="C28" t="s">
        <v>51</v>
      </c>
      <c r="D28" t="s">
        <v>324</v>
      </c>
      <c r="E28" t="s">
        <v>37</v>
      </c>
      <c r="F28" t="s">
        <v>247</v>
      </c>
      <c r="G28" t="s">
        <v>189</v>
      </c>
      <c r="H28" t="s">
        <v>287</v>
      </c>
      <c r="I28" t="s">
        <v>35</v>
      </c>
      <c r="J28" t="s">
        <v>5</v>
      </c>
      <c r="K28" t="s">
        <v>52</v>
      </c>
      <c r="L28" t="s">
        <v>51</v>
      </c>
      <c r="M28">
        <v>120</v>
      </c>
      <c r="N28" t="s">
        <v>2</v>
      </c>
      <c r="O28">
        <v>4020</v>
      </c>
      <c r="P28" t="s">
        <v>27</v>
      </c>
      <c r="Q28">
        <v>9</v>
      </c>
      <c r="R28">
        <v>10</v>
      </c>
      <c r="S28"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28" s="9">
        <v>45547</v>
      </c>
      <c r="U28" s="9">
        <v>45556</v>
      </c>
      <c r="V28" s="9">
        <v>45557</v>
      </c>
      <c r="W28" t="s">
        <v>69</v>
      </c>
      <c r="X28" t="s">
        <v>68</v>
      </c>
    </row>
    <row r="29" spans="1:24" x14ac:dyDescent="0.3">
      <c r="A29" t="s">
        <v>187</v>
      </c>
      <c r="B29" t="s">
        <v>5</v>
      </c>
      <c r="C29" t="s">
        <v>188</v>
      </c>
      <c r="D29" t="s">
        <v>323</v>
      </c>
      <c r="E29" t="s">
        <v>37</v>
      </c>
      <c r="F29" t="s">
        <v>247</v>
      </c>
      <c r="G29" t="s">
        <v>189</v>
      </c>
      <c r="H29" t="s">
        <v>287</v>
      </c>
      <c r="I29" t="s">
        <v>35</v>
      </c>
      <c r="J29" t="s">
        <v>5</v>
      </c>
      <c r="K29" t="s">
        <v>52</v>
      </c>
      <c r="L29" t="s">
        <v>188</v>
      </c>
      <c r="M29">
        <v>120</v>
      </c>
      <c r="N29" t="s">
        <v>15</v>
      </c>
      <c r="O29">
        <v>4020</v>
      </c>
      <c r="P29" t="s">
        <v>1</v>
      </c>
      <c r="Q29">
        <v>9</v>
      </c>
      <c r="R29">
        <v>10</v>
      </c>
      <c r="S29"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29" s="9">
        <v>45547</v>
      </c>
      <c r="U29" s="9">
        <v>45556</v>
      </c>
      <c r="V29" s="9">
        <v>45557</v>
      </c>
      <c r="W29" t="s">
        <v>69</v>
      </c>
      <c r="X29" t="s">
        <v>68</v>
      </c>
    </row>
    <row r="30" spans="1:24" x14ac:dyDescent="0.3">
      <c r="A30" t="s">
        <v>187</v>
      </c>
      <c r="B30" t="s">
        <v>5</v>
      </c>
      <c r="C30" t="s">
        <v>188</v>
      </c>
      <c r="D30" t="s">
        <v>323</v>
      </c>
      <c r="E30" t="s">
        <v>37</v>
      </c>
      <c r="F30" t="s">
        <v>247</v>
      </c>
      <c r="G30" t="s">
        <v>189</v>
      </c>
      <c r="H30" t="s">
        <v>287</v>
      </c>
      <c r="I30" t="s">
        <v>35</v>
      </c>
      <c r="J30" t="s">
        <v>5</v>
      </c>
      <c r="K30" t="s">
        <v>52</v>
      </c>
      <c r="L30" t="s">
        <v>188</v>
      </c>
      <c r="M30">
        <v>120</v>
      </c>
      <c r="N30" t="s">
        <v>15</v>
      </c>
      <c r="O30">
        <v>4020</v>
      </c>
      <c r="P30" t="s">
        <v>1</v>
      </c>
      <c r="Q30">
        <v>9</v>
      </c>
      <c r="R30">
        <v>10</v>
      </c>
      <c r="S30"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30" s="9">
        <v>45547</v>
      </c>
      <c r="U30" s="9">
        <v>45556</v>
      </c>
      <c r="V30" s="9">
        <v>45557</v>
      </c>
      <c r="W30" t="s">
        <v>69</v>
      </c>
      <c r="X30" t="s">
        <v>68</v>
      </c>
    </row>
    <row r="31" spans="1:24" x14ac:dyDescent="0.3">
      <c r="A31" t="s">
        <v>184</v>
      </c>
      <c r="B31" t="s">
        <v>320</v>
      </c>
      <c r="C31" t="s">
        <v>321</v>
      </c>
      <c r="D31" t="s">
        <v>322</v>
      </c>
      <c r="E31" t="s">
        <v>186</v>
      </c>
      <c r="F31" t="s">
        <v>243</v>
      </c>
      <c r="G31" t="s">
        <v>185</v>
      </c>
      <c r="H31" t="s">
        <v>284</v>
      </c>
      <c r="I31" t="s">
        <v>6</v>
      </c>
      <c r="J31" t="s">
        <v>41</v>
      </c>
      <c r="K31" t="s">
        <v>16</v>
      </c>
      <c r="O31">
        <v>8349</v>
      </c>
      <c r="P31" t="s">
        <v>1</v>
      </c>
      <c r="Q31">
        <v>8</v>
      </c>
      <c r="R31">
        <v>10</v>
      </c>
      <c r="S31"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31" s="9">
        <v>45549</v>
      </c>
      <c r="U31" s="9">
        <v>45557</v>
      </c>
      <c r="V31" s="9">
        <v>45559</v>
      </c>
      <c r="W31" t="s">
        <v>294</v>
      </c>
      <c r="X31" t="s">
        <v>68</v>
      </c>
    </row>
    <row r="32" spans="1:24" x14ac:dyDescent="0.3">
      <c r="A32" t="s">
        <v>183</v>
      </c>
      <c r="B32" t="s">
        <v>5</v>
      </c>
      <c r="C32" t="s">
        <v>321</v>
      </c>
      <c r="D32" t="s">
        <v>323</v>
      </c>
      <c r="E32" t="s">
        <v>252</v>
      </c>
      <c r="F32" t="s">
        <v>243</v>
      </c>
      <c r="G32" t="s">
        <v>64</v>
      </c>
      <c r="H32" t="s">
        <v>283</v>
      </c>
      <c r="I32" t="s">
        <v>6</v>
      </c>
      <c r="J32" t="s">
        <v>5</v>
      </c>
      <c r="K32" t="s">
        <v>38</v>
      </c>
      <c r="N32" t="s">
        <v>15</v>
      </c>
      <c r="O32">
        <v>9399</v>
      </c>
      <c r="P32" t="s">
        <v>1</v>
      </c>
      <c r="Q32">
        <v>11</v>
      </c>
      <c r="R32">
        <v>17</v>
      </c>
      <c r="S32"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32" s="9">
        <v>45548</v>
      </c>
      <c r="U32" s="9">
        <v>45559</v>
      </c>
      <c r="V32" s="9">
        <v>45565</v>
      </c>
      <c r="W32" t="s">
        <v>294</v>
      </c>
      <c r="X32" t="s">
        <v>68</v>
      </c>
    </row>
    <row r="33" spans="1:24" x14ac:dyDescent="0.3">
      <c r="A33" t="s">
        <v>56</v>
      </c>
      <c r="B33" t="s">
        <v>320</v>
      </c>
      <c r="C33" t="s">
        <v>321</v>
      </c>
      <c r="D33" t="s">
        <v>322</v>
      </c>
      <c r="E33" t="s">
        <v>253</v>
      </c>
      <c r="F33" t="s">
        <v>243</v>
      </c>
      <c r="G33" t="s">
        <v>182</v>
      </c>
      <c r="H33" t="s">
        <v>282</v>
      </c>
      <c r="I33" t="s">
        <v>6</v>
      </c>
      <c r="J33" t="s">
        <v>41</v>
      </c>
      <c r="K33" t="s">
        <v>57</v>
      </c>
      <c r="O33">
        <v>7849</v>
      </c>
      <c r="P33" t="s">
        <v>295</v>
      </c>
      <c r="Q33">
        <v>14</v>
      </c>
      <c r="R33">
        <v>0</v>
      </c>
      <c r="S33"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33" s="9">
        <v>45547</v>
      </c>
      <c r="U33" s="9">
        <v>45561</v>
      </c>
      <c r="W33" t="s">
        <v>294</v>
      </c>
      <c r="X33" t="s">
        <v>68</v>
      </c>
    </row>
    <row r="34" spans="1:24" x14ac:dyDescent="0.3">
      <c r="A34" t="s">
        <v>181</v>
      </c>
      <c r="B34" t="s">
        <v>5</v>
      </c>
      <c r="C34" t="s">
        <v>326</v>
      </c>
      <c r="D34" t="s">
        <v>323</v>
      </c>
      <c r="E34" t="s">
        <v>254</v>
      </c>
      <c r="F34" t="s">
        <v>243</v>
      </c>
      <c r="G34" t="s">
        <v>17</v>
      </c>
      <c r="H34" t="s">
        <v>282</v>
      </c>
      <c r="I34" t="s">
        <v>6</v>
      </c>
      <c r="J34" t="s">
        <v>5</v>
      </c>
      <c r="K34" t="s">
        <v>52</v>
      </c>
      <c r="L34" t="s">
        <v>110</v>
      </c>
      <c r="M34">
        <v>120</v>
      </c>
      <c r="N34" t="s">
        <v>15</v>
      </c>
      <c r="O34">
        <v>7460</v>
      </c>
      <c r="P34" t="s">
        <v>1</v>
      </c>
      <c r="Q34">
        <v>13</v>
      </c>
      <c r="R34">
        <v>20</v>
      </c>
      <c r="S34"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34" s="9">
        <v>45548</v>
      </c>
      <c r="U34" s="9">
        <v>45561</v>
      </c>
      <c r="V34" s="9">
        <v>45568</v>
      </c>
      <c r="W34" t="s">
        <v>69</v>
      </c>
      <c r="X34" t="s">
        <v>68</v>
      </c>
    </row>
    <row r="35" spans="1:24" x14ac:dyDescent="0.3">
      <c r="A35" t="s">
        <v>178</v>
      </c>
      <c r="B35" t="s">
        <v>5</v>
      </c>
      <c r="C35" t="s">
        <v>327</v>
      </c>
      <c r="D35" t="s">
        <v>319</v>
      </c>
      <c r="E35" t="s">
        <v>180</v>
      </c>
      <c r="F35" t="s">
        <v>243</v>
      </c>
      <c r="G35" t="s">
        <v>17</v>
      </c>
      <c r="H35" t="s">
        <v>282</v>
      </c>
      <c r="I35" t="s">
        <v>6</v>
      </c>
      <c r="J35" t="s">
        <v>5</v>
      </c>
      <c r="K35" t="s">
        <v>52</v>
      </c>
      <c r="L35" t="s">
        <v>179</v>
      </c>
      <c r="M35">
        <v>140</v>
      </c>
      <c r="N35" t="s">
        <v>94</v>
      </c>
      <c r="O35">
        <v>9528</v>
      </c>
      <c r="P35" t="s">
        <v>1</v>
      </c>
      <c r="Q35">
        <v>13</v>
      </c>
      <c r="R35">
        <v>20</v>
      </c>
      <c r="S35"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35" s="9">
        <v>45548</v>
      </c>
      <c r="U35" s="9">
        <v>45561</v>
      </c>
      <c r="V35" s="9">
        <v>45568</v>
      </c>
      <c r="W35" t="s">
        <v>69</v>
      </c>
      <c r="X35" t="s">
        <v>68</v>
      </c>
    </row>
    <row r="36" spans="1:24" x14ac:dyDescent="0.3">
      <c r="A36" t="s">
        <v>177</v>
      </c>
      <c r="B36" t="s">
        <v>5</v>
      </c>
      <c r="C36" t="s">
        <v>317</v>
      </c>
      <c r="D36" t="s">
        <v>319</v>
      </c>
      <c r="E36" t="s">
        <v>255</v>
      </c>
      <c r="F36" t="s">
        <v>243</v>
      </c>
      <c r="G36" t="s">
        <v>64</v>
      </c>
      <c r="H36" t="s">
        <v>283</v>
      </c>
      <c r="I36" t="s">
        <v>6</v>
      </c>
      <c r="J36" t="s">
        <v>5</v>
      </c>
      <c r="K36" t="s">
        <v>24</v>
      </c>
      <c r="L36" t="s">
        <v>23</v>
      </c>
      <c r="M36">
        <v>120</v>
      </c>
      <c r="N36" t="s">
        <v>45</v>
      </c>
      <c r="O36">
        <v>12999</v>
      </c>
      <c r="P36" t="s">
        <v>1</v>
      </c>
      <c r="Q36">
        <v>13</v>
      </c>
      <c r="R36">
        <v>18</v>
      </c>
      <c r="S36"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36" s="9">
        <v>45549</v>
      </c>
      <c r="U36" s="9">
        <v>45562</v>
      </c>
      <c r="V36" s="9">
        <v>45567</v>
      </c>
      <c r="W36" t="s">
        <v>69</v>
      </c>
      <c r="X36" t="s">
        <v>68</v>
      </c>
    </row>
    <row r="37" spans="1:24" x14ac:dyDescent="0.3">
      <c r="A37" t="s">
        <v>175</v>
      </c>
      <c r="B37" t="s">
        <v>5</v>
      </c>
      <c r="C37" t="s">
        <v>317</v>
      </c>
      <c r="D37" t="s">
        <v>323</v>
      </c>
      <c r="E37" t="s">
        <v>256</v>
      </c>
      <c r="F37" t="s">
        <v>243</v>
      </c>
      <c r="G37" t="s">
        <v>176</v>
      </c>
      <c r="H37" t="s">
        <v>283</v>
      </c>
      <c r="I37" t="s">
        <v>6</v>
      </c>
      <c r="J37" t="s">
        <v>5</v>
      </c>
      <c r="K37" t="s">
        <v>24</v>
      </c>
      <c r="L37" t="s">
        <v>23</v>
      </c>
      <c r="M37">
        <v>100</v>
      </c>
      <c r="N37" t="s">
        <v>15</v>
      </c>
      <c r="O37">
        <v>11949</v>
      </c>
      <c r="P37" t="s">
        <v>295</v>
      </c>
      <c r="Q37">
        <v>17</v>
      </c>
      <c r="R37">
        <v>20</v>
      </c>
      <c r="S37"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37" s="9">
        <v>45547</v>
      </c>
      <c r="U37" s="9">
        <v>45564</v>
      </c>
      <c r="V37" s="9">
        <v>45567</v>
      </c>
      <c r="W37" t="s">
        <v>69</v>
      </c>
      <c r="X37" t="s">
        <v>68</v>
      </c>
    </row>
    <row r="38" spans="1:24" x14ac:dyDescent="0.3">
      <c r="A38" t="s">
        <v>175</v>
      </c>
      <c r="B38" t="s">
        <v>5</v>
      </c>
      <c r="C38" t="s">
        <v>317</v>
      </c>
      <c r="D38" t="s">
        <v>323</v>
      </c>
      <c r="E38" t="s">
        <v>256</v>
      </c>
      <c r="F38" t="s">
        <v>243</v>
      </c>
      <c r="G38" t="s">
        <v>176</v>
      </c>
      <c r="H38" t="s">
        <v>283</v>
      </c>
      <c r="I38" t="s">
        <v>6</v>
      </c>
      <c r="J38" t="s">
        <v>5</v>
      </c>
      <c r="K38" t="s">
        <v>24</v>
      </c>
      <c r="L38" t="s">
        <v>23</v>
      </c>
      <c r="M38">
        <v>100</v>
      </c>
      <c r="N38" t="s">
        <v>15</v>
      </c>
      <c r="O38">
        <v>11949</v>
      </c>
      <c r="P38" t="s">
        <v>295</v>
      </c>
      <c r="Q38">
        <v>17</v>
      </c>
      <c r="R38">
        <v>20</v>
      </c>
      <c r="S38"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38" s="9">
        <v>45547</v>
      </c>
      <c r="U38" s="9">
        <v>45564</v>
      </c>
      <c r="V38" s="9">
        <v>45567</v>
      </c>
      <c r="W38" t="s">
        <v>69</v>
      </c>
      <c r="X38" t="s">
        <v>68</v>
      </c>
    </row>
    <row r="39" spans="1:24" x14ac:dyDescent="0.3">
      <c r="A39" t="s">
        <v>174</v>
      </c>
      <c r="B39" t="s">
        <v>5</v>
      </c>
      <c r="C39" t="s">
        <v>321</v>
      </c>
      <c r="D39" t="s">
        <v>324</v>
      </c>
      <c r="E39" t="s">
        <v>248</v>
      </c>
      <c r="F39" t="s">
        <v>243</v>
      </c>
      <c r="G39" t="s">
        <v>154</v>
      </c>
      <c r="H39" t="s">
        <v>282</v>
      </c>
      <c r="I39" t="s">
        <v>6</v>
      </c>
      <c r="J39" t="s">
        <v>5</v>
      </c>
      <c r="K39" t="s">
        <v>168</v>
      </c>
      <c r="L39" t="s">
        <v>23</v>
      </c>
      <c r="M39">
        <v>80</v>
      </c>
      <c r="N39" t="s">
        <v>2</v>
      </c>
      <c r="O39">
        <v>16599</v>
      </c>
      <c r="P39" t="s">
        <v>1</v>
      </c>
      <c r="Q39">
        <v>17</v>
      </c>
      <c r="R39">
        <v>20</v>
      </c>
      <c r="S39"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39" s="9">
        <v>45548</v>
      </c>
      <c r="U39" s="9">
        <v>45565</v>
      </c>
      <c r="V39" s="9">
        <v>45568</v>
      </c>
      <c r="W39" t="s">
        <v>69</v>
      </c>
      <c r="X39" t="s">
        <v>68</v>
      </c>
    </row>
    <row r="40" spans="1:24" x14ac:dyDescent="0.3">
      <c r="A40" t="s">
        <v>169</v>
      </c>
      <c r="B40" t="s">
        <v>5</v>
      </c>
      <c r="C40" t="s">
        <v>317</v>
      </c>
      <c r="D40" t="s">
        <v>324</v>
      </c>
      <c r="E40" t="s">
        <v>257</v>
      </c>
      <c r="F40" t="s">
        <v>243</v>
      </c>
      <c r="G40" t="s">
        <v>173</v>
      </c>
      <c r="H40" t="s">
        <v>285</v>
      </c>
      <c r="I40" t="s">
        <v>6</v>
      </c>
      <c r="J40" t="s">
        <v>5</v>
      </c>
      <c r="K40" t="s">
        <v>24</v>
      </c>
      <c r="L40" t="s">
        <v>23</v>
      </c>
      <c r="M40">
        <v>80</v>
      </c>
      <c r="N40" t="s">
        <v>2</v>
      </c>
      <c r="O40">
        <v>10999</v>
      </c>
      <c r="P40" t="s">
        <v>1</v>
      </c>
      <c r="Q40">
        <v>17</v>
      </c>
      <c r="R40">
        <v>33</v>
      </c>
      <c r="S40"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40" s="9">
        <v>45548</v>
      </c>
      <c r="U40" s="9">
        <v>45565</v>
      </c>
      <c r="V40" s="9">
        <v>45581</v>
      </c>
      <c r="W40" t="s">
        <v>294</v>
      </c>
      <c r="X40" t="s">
        <v>68</v>
      </c>
    </row>
    <row r="41" spans="1:24" x14ac:dyDescent="0.3">
      <c r="A41" t="s">
        <v>171</v>
      </c>
      <c r="B41" t="s">
        <v>5</v>
      </c>
      <c r="C41" t="s">
        <v>321</v>
      </c>
      <c r="D41" t="s">
        <v>318</v>
      </c>
      <c r="E41" t="s">
        <v>258</v>
      </c>
      <c r="F41" t="s">
        <v>243</v>
      </c>
      <c r="G41" t="s">
        <v>172</v>
      </c>
      <c r="H41" t="s">
        <v>133</v>
      </c>
      <c r="I41" t="s">
        <v>6</v>
      </c>
      <c r="J41" t="s">
        <v>5</v>
      </c>
      <c r="K41" t="s">
        <v>24</v>
      </c>
      <c r="L41" t="s">
        <v>23</v>
      </c>
      <c r="M41">
        <v>140</v>
      </c>
      <c r="N41" t="s">
        <v>81</v>
      </c>
      <c r="O41">
        <v>13099</v>
      </c>
      <c r="P41" t="s">
        <v>1</v>
      </c>
      <c r="Q41">
        <v>17</v>
      </c>
      <c r="R41">
        <v>20</v>
      </c>
      <c r="S41"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41" s="9">
        <v>45548</v>
      </c>
      <c r="U41" s="9">
        <v>45565</v>
      </c>
      <c r="V41" s="9">
        <v>45568</v>
      </c>
      <c r="W41" t="s">
        <v>294</v>
      </c>
      <c r="X41" t="s">
        <v>68</v>
      </c>
    </row>
    <row r="42" spans="1:24" x14ac:dyDescent="0.3">
      <c r="A42" t="s">
        <v>170</v>
      </c>
      <c r="B42" t="s">
        <v>5</v>
      </c>
      <c r="C42" t="s">
        <v>31</v>
      </c>
      <c r="D42" t="s">
        <v>322</v>
      </c>
      <c r="E42" t="s">
        <v>259</v>
      </c>
      <c r="F42" t="s">
        <v>243</v>
      </c>
      <c r="G42" t="s">
        <v>64</v>
      </c>
      <c r="H42" t="s">
        <v>283</v>
      </c>
      <c r="I42" t="s">
        <v>6</v>
      </c>
      <c r="J42" t="s">
        <v>5</v>
      </c>
      <c r="K42" t="s">
        <v>24</v>
      </c>
      <c r="L42" t="s">
        <v>31</v>
      </c>
      <c r="M42">
        <v>120</v>
      </c>
      <c r="N42" t="s">
        <v>105</v>
      </c>
      <c r="O42">
        <v>13849</v>
      </c>
      <c r="P42" t="s">
        <v>1</v>
      </c>
      <c r="Q42">
        <v>17</v>
      </c>
      <c r="R42">
        <v>37</v>
      </c>
      <c r="S42"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42" s="9">
        <v>45548</v>
      </c>
      <c r="U42" s="9">
        <v>45565</v>
      </c>
      <c r="V42" s="9">
        <v>45585</v>
      </c>
      <c r="W42" t="s">
        <v>69</v>
      </c>
      <c r="X42" t="s">
        <v>68</v>
      </c>
    </row>
    <row r="43" spans="1:24" x14ac:dyDescent="0.3">
      <c r="A43" t="s">
        <v>44</v>
      </c>
      <c r="B43" t="s">
        <v>5</v>
      </c>
      <c r="C43" t="s">
        <v>321</v>
      </c>
      <c r="D43" t="s">
        <v>322</v>
      </c>
      <c r="E43" t="s">
        <v>260</v>
      </c>
      <c r="F43" t="s">
        <v>243</v>
      </c>
      <c r="G43" t="s">
        <v>127</v>
      </c>
      <c r="H43" t="s">
        <v>282</v>
      </c>
      <c r="I43" t="s">
        <v>6</v>
      </c>
      <c r="J43" t="s">
        <v>209</v>
      </c>
      <c r="K43" t="s">
        <v>46</v>
      </c>
      <c r="N43" t="s">
        <v>15</v>
      </c>
      <c r="O43">
        <v>21999</v>
      </c>
      <c r="P43" t="s">
        <v>1</v>
      </c>
      <c r="Q43">
        <v>17</v>
      </c>
      <c r="R43">
        <v>0</v>
      </c>
      <c r="S43"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43" s="9">
        <v>45548</v>
      </c>
      <c r="U43" s="9">
        <v>45565</v>
      </c>
      <c r="W43" t="s">
        <v>69</v>
      </c>
      <c r="X43" t="s">
        <v>68</v>
      </c>
    </row>
    <row r="44" spans="1:24" x14ac:dyDescent="0.3">
      <c r="A44" t="s">
        <v>169</v>
      </c>
      <c r="B44" t="s">
        <v>5</v>
      </c>
      <c r="C44" t="s">
        <v>317</v>
      </c>
      <c r="D44" t="s">
        <v>324</v>
      </c>
      <c r="E44" t="s">
        <v>261</v>
      </c>
      <c r="F44" t="s">
        <v>243</v>
      </c>
      <c r="G44" t="s">
        <v>64</v>
      </c>
      <c r="H44" t="s">
        <v>283</v>
      </c>
      <c r="I44" t="s">
        <v>6</v>
      </c>
      <c r="J44" t="s">
        <v>5</v>
      </c>
      <c r="K44" t="s">
        <v>24</v>
      </c>
      <c r="L44" t="s">
        <v>23</v>
      </c>
      <c r="M44">
        <v>80</v>
      </c>
      <c r="N44" t="s">
        <v>2</v>
      </c>
      <c r="O44">
        <v>10999</v>
      </c>
      <c r="P44" t="s">
        <v>1</v>
      </c>
      <c r="Q44">
        <v>17</v>
      </c>
      <c r="R44">
        <v>32</v>
      </c>
      <c r="S44"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44" s="9">
        <v>45548</v>
      </c>
      <c r="U44" s="9">
        <v>45565</v>
      </c>
      <c r="V44" s="9">
        <v>45580</v>
      </c>
      <c r="W44" t="s">
        <v>69</v>
      </c>
      <c r="X44" t="s">
        <v>68</v>
      </c>
    </row>
    <row r="45" spans="1:24" x14ac:dyDescent="0.3">
      <c r="A45" t="s">
        <v>167</v>
      </c>
      <c r="B45" t="s">
        <v>5</v>
      </c>
      <c r="C45" t="s">
        <v>321</v>
      </c>
      <c r="D45" t="s">
        <v>323</v>
      </c>
      <c r="E45" t="s">
        <v>262</v>
      </c>
      <c r="F45" t="s">
        <v>243</v>
      </c>
      <c r="G45" t="s">
        <v>58</v>
      </c>
      <c r="H45" t="s">
        <v>282</v>
      </c>
      <c r="I45" t="s">
        <v>6</v>
      </c>
      <c r="J45" t="s">
        <v>5</v>
      </c>
      <c r="K45" t="s">
        <v>168</v>
      </c>
      <c r="L45" t="s">
        <v>23</v>
      </c>
      <c r="M45">
        <v>90</v>
      </c>
      <c r="N45" t="s">
        <v>15</v>
      </c>
      <c r="O45">
        <v>17249</v>
      </c>
      <c r="P45" t="s">
        <v>1</v>
      </c>
      <c r="Q45">
        <v>17</v>
      </c>
      <c r="R45">
        <v>21</v>
      </c>
      <c r="S45"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45" s="9">
        <v>45548</v>
      </c>
      <c r="U45" s="9">
        <v>45565</v>
      </c>
      <c r="V45" s="9">
        <v>45569</v>
      </c>
      <c r="W45" t="s">
        <v>69</v>
      </c>
      <c r="X45" t="s">
        <v>68</v>
      </c>
    </row>
    <row r="46" spans="1:24" x14ac:dyDescent="0.3">
      <c r="A46" t="s">
        <v>165</v>
      </c>
      <c r="B46" t="s">
        <v>320</v>
      </c>
      <c r="C46" t="s">
        <v>321</v>
      </c>
      <c r="D46" t="s">
        <v>322</v>
      </c>
      <c r="E46" t="s">
        <v>263</v>
      </c>
      <c r="F46" t="s">
        <v>243</v>
      </c>
      <c r="G46" t="s">
        <v>166</v>
      </c>
      <c r="H46" t="s">
        <v>283</v>
      </c>
      <c r="I46" t="s">
        <v>6</v>
      </c>
      <c r="J46" t="s">
        <v>41</v>
      </c>
      <c r="K46" t="s">
        <v>57</v>
      </c>
      <c r="O46">
        <v>8349</v>
      </c>
      <c r="P46" t="s">
        <v>1</v>
      </c>
      <c r="Q46">
        <v>32</v>
      </c>
      <c r="R46">
        <v>37</v>
      </c>
      <c r="S46"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46" s="9">
        <v>45549</v>
      </c>
      <c r="U46" s="9">
        <v>45581</v>
      </c>
      <c r="V46" s="9">
        <v>45586</v>
      </c>
      <c r="W46" t="s">
        <v>69</v>
      </c>
      <c r="X46" t="s">
        <v>68</v>
      </c>
    </row>
    <row r="47" spans="1:24" x14ac:dyDescent="0.3">
      <c r="A47" t="s">
        <v>163</v>
      </c>
      <c r="B47" t="s">
        <v>320</v>
      </c>
      <c r="C47" t="s">
        <v>321</v>
      </c>
      <c r="D47" t="s">
        <v>322</v>
      </c>
      <c r="E47" t="s">
        <v>264</v>
      </c>
      <c r="F47" t="s">
        <v>243</v>
      </c>
      <c r="G47" t="s">
        <v>151</v>
      </c>
      <c r="H47" t="s">
        <v>282</v>
      </c>
      <c r="I47" t="s">
        <v>6</v>
      </c>
      <c r="J47" t="s">
        <v>41</v>
      </c>
      <c r="K47" t="s">
        <v>164</v>
      </c>
      <c r="O47">
        <v>7849</v>
      </c>
      <c r="P47" t="s">
        <v>1</v>
      </c>
      <c r="Q47">
        <v>45</v>
      </c>
      <c r="R47">
        <v>46</v>
      </c>
      <c r="S47"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47" s="9">
        <v>45549</v>
      </c>
      <c r="U47" s="9">
        <v>45594</v>
      </c>
      <c r="V47" s="9">
        <v>45595</v>
      </c>
      <c r="W47" t="s">
        <v>69</v>
      </c>
      <c r="X47" t="s">
        <v>68</v>
      </c>
    </row>
    <row r="48" spans="1:24" x14ac:dyDescent="0.3">
      <c r="A48" t="s">
        <v>161</v>
      </c>
      <c r="B48" t="s">
        <v>5</v>
      </c>
      <c r="C48" t="s">
        <v>321</v>
      </c>
      <c r="D48" t="s">
        <v>323</v>
      </c>
      <c r="E48" t="s">
        <v>162</v>
      </c>
      <c r="F48" t="s">
        <v>243</v>
      </c>
      <c r="G48" t="s">
        <v>64</v>
      </c>
      <c r="H48" t="s">
        <v>283</v>
      </c>
      <c r="I48" t="s">
        <v>6</v>
      </c>
      <c r="J48" t="s">
        <v>5</v>
      </c>
      <c r="K48" t="s">
        <v>38</v>
      </c>
      <c r="N48" t="s">
        <v>15</v>
      </c>
      <c r="O48">
        <v>9399</v>
      </c>
      <c r="P48" t="s">
        <v>1</v>
      </c>
      <c r="Q48">
        <v>45</v>
      </c>
      <c r="R48">
        <v>31</v>
      </c>
      <c r="S48"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48" s="9">
        <v>45549</v>
      </c>
      <c r="U48" s="9">
        <v>45594</v>
      </c>
      <c r="V48" s="9">
        <v>45580</v>
      </c>
      <c r="W48" t="s">
        <v>69</v>
      </c>
      <c r="X48" t="s">
        <v>68</v>
      </c>
    </row>
    <row r="49" spans="1:24" x14ac:dyDescent="0.3">
      <c r="A49" t="s">
        <v>159</v>
      </c>
      <c r="B49" t="s">
        <v>5</v>
      </c>
      <c r="C49" t="s">
        <v>326</v>
      </c>
      <c r="D49" t="s">
        <v>323</v>
      </c>
      <c r="E49" t="s">
        <v>265</v>
      </c>
      <c r="F49" t="s">
        <v>243</v>
      </c>
      <c r="G49" t="s">
        <v>160</v>
      </c>
      <c r="H49" t="s">
        <v>283</v>
      </c>
      <c r="I49" t="s">
        <v>6</v>
      </c>
      <c r="J49" t="s">
        <v>5</v>
      </c>
      <c r="K49" t="s">
        <v>52</v>
      </c>
      <c r="L49" t="s">
        <v>110</v>
      </c>
      <c r="M49">
        <v>140</v>
      </c>
      <c r="N49" t="s">
        <v>15</v>
      </c>
      <c r="O49">
        <v>11817</v>
      </c>
      <c r="P49" t="s">
        <v>1</v>
      </c>
      <c r="Q49">
        <v>45</v>
      </c>
      <c r="R49">
        <v>31</v>
      </c>
      <c r="S49"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49" s="9">
        <v>45549</v>
      </c>
      <c r="U49" s="9">
        <v>45594</v>
      </c>
      <c r="V49" s="9">
        <v>45580</v>
      </c>
      <c r="W49" t="s">
        <v>69</v>
      </c>
      <c r="X49" t="s">
        <v>68</v>
      </c>
    </row>
    <row r="50" spans="1:24" x14ac:dyDescent="0.3">
      <c r="A50" t="s">
        <v>158</v>
      </c>
      <c r="B50" t="s">
        <v>320</v>
      </c>
      <c r="C50" t="s">
        <v>321</v>
      </c>
      <c r="D50" t="s">
        <v>322</v>
      </c>
      <c r="E50" t="s">
        <v>266</v>
      </c>
      <c r="F50" t="s">
        <v>243</v>
      </c>
      <c r="G50" t="s">
        <v>154</v>
      </c>
      <c r="H50" t="s">
        <v>282</v>
      </c>
      <c r="I50" t="s">
        <v>6</v>
      </c>
      <c r="J50" t="s">
        <v>41</v>
      </c>
      <c r="K50" t="s">
        <v>16</v>
      </c>
      <c r="O50">
        <v>8349</v>
      </c>
      <c r="P50" t="s">
        <v>1</v>
      </c>
      <c r="Q50">
        <v>45</v>
      </c>
      <c r="R50">
        <v>35</v>
      </c>
      <c r="S50"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50" s="9">
        <v>45549</v>
      </c>
      <c r="U50" s="9">
        <v>45594</v>
      </c>
      <c r="V50" s="9">
        <v>45584</v>
      </c>
      <c r="W50" t="s">
        <v>69</v>
      </c>
      <c r="X50" t="s">
        <v>68</v>
      </c>
    </row>
    <row r="51" spans="1:24" x14ac:dyDescent="0.3">
      <c r="A51" t="s">
        <v>157</v>
      </c>
      <c r="B51" t="s">
        <v>5</v>
      </c>
      <c r="C51" t="s">
        <v>326</v>
      </c>
      <c r="D51" t="s">
        <v>324</v>
      </c>
      <c r="E51" t="s">
        <v>99</v>
      </c>
      <c r="F51" t="s">
        <v>243</v>
      </c>
      <c r="G51" t="s">
        <v>17</v>
      </c>
      <c r="H51" t="s">
        <v>282</v>
      </c>
      <c r="I51" t="s">
        <v>6</v>
      </c>
      <c r="J51" t="s">
        <v>5</v>
      </c>
      <c r="K51" t="s">
        <v>52</v>
      </c>
      <c r="L51" t="s">
        <v>110</v>
      </c>
      <c r="M51">
        <v>120</v>
      </c>
      <c r="N51" t="s">
        <v>2</v>
      </c>
      <c r="O51">
        <v>10987</v>
      </c>
      <c r="P51" t="s">
        <v>1</v>
      </c>
      <c r="Q51">
        <v>45</v>
      </c>
      <c r="R51">
        <v>29</v>
      </c>
      <c r="S51"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51" s="9">
        <v>45549</v>
      </c>
      <c r="U51" s="9">
        <v>45594</v>
      </c>
      <c r="V51" s="9">
        <v>45578</v>
      </c>
      <c r="W51" t="s">
        <v>69</v>
      </c>
      <c r="X51" t="s">
        <v>68</v>
      </c>
    </row>
    <row r="52" spans="1:24" x14ac:dyDescent="0.3">
      <c r="A52" t="s">
        <v>157</v>
      </c>
      <c r="B52" t="s">
        <v>5</v>
      </c>
      <c r="C52" t="s">
        <v>326</v>
      </c>
      <c r="D52" t="s">
        <v>324</v>
      </c>
      <c r="E52" t="s">
        <v>99</v>
      </c>
      <c r="F52" t="s">
        <v>243</v>
      </c>
      <c r="G52" t="s">
        <v>17</v>
      </c>
      <c r="H52" t="s">
        <v>282</v>
      </c>
      <c r="I52" t="s">
        <v>6</v>
      </c>
      <c r="J52" t="s">
        <v>5</v>
      </c>
      <c r="K52" t="s">
        <v>52</v>
      </c>
      <c r="L52" t="s">
        <v>110</v>
      </c>
      <c r="M52">
        <v>120</v>
      </c>
      <c r="N52" t="s">
        <v>2</v>
      </c>
      <c r="O52">
        <v>10987</v>
      </c>
      <c r="P52" t="s">
        <v>1</v>
      </c>
      <c r="Q52">
        <v>45</v>
      </c>
      <c r="R52">
        <v>29</v>
      </c>
      <c r="S52"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52" s="9">
        <v>45549</v>
      </c>
      <c r="U52" s="9">
        <v>45594</v>
      </c>
      <c r="V52" s="9">
        <v>45578</v>
      </c>
      <c r="W52" t="s">
        <v>69</v>
      </c>
      <c r="X52" t="s">
        <v>68</v>
      </c>
    </row>
    <row r="53" spans="1:24" x14ac:dyDescent="0.3">
      <c r="A53" t="s">
        <v>56</v>
      </c>
      <c r="B53" t="s">
        <v>320</v>
      </c>
      <c r="C53" t="s">
        <v>321</v>
      </c>
      <c r="D53" t="s">
        <v>322</v>
      </c>
      <c r="E53" t="s">
        <v>267</v>
      </c>
      <c r="F53" t="s">
        <v>243</v>
      </c>
      <c r="G53" t="s">
        <v>80</v>
      </c>
      <c r="H53" t="s">
        <v>287</v>
      </c>
      <c r="I53" t="s">
        <v>6</v>
      </c>
      <c r="J53" t="s">
        <v>41</v>
      </c>
      <c r="K53" t="s">
        <v>57</v>
      </c>
      <c r="O53">
        <v>10319</v>
      </c>
      <c r="P53" t="s">
        <v>1</v>
      </c>
      <c r="Q53">
        <v>45</v>
      </c>
      <c r="R53">
        <v>35</v>
      </c>
      <c r="S53"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53" s="9">
        <v>45549</v>
      </c>
      <c r="U53" s="9">
        <v>45594</v>
      </c>
      <c r="V53" s="9">
        <v>45584</v>
      </c>
      <c r="W53" t="s">
        <v>69</v>
      </c>
      <c r="X53" t="s">
        <v>68</v>
      </c>
    </row>
    <row r="54" spans="1:24" x14ac:dyDescent="0.3">
      <c r="A54" t="s">
        <v>155</v>
      </c>
      <c r="B54" t="s">
        <v>5</v>
      </c>
      <c r="C54" t="s">
        <v>317</v>
      </c>
      <c r="D54" t="s">
        <v>319</v>
      </c>
      <c r="E54" t="s">
        <v>268</v>
      </c>
      <c r="F54" t="s">
        <v>243</v>
      </c>
      <c r="G54" t="s">
        <v>156</v>
      </c>
      <c r="H54" t="s">
        <v>288</v>
      </c>
      <c r="I54" t="s">
        <v>6</v>
      </c>
      <c r="J54" t="s">
        <v>5</v>
      </c>
      <c r="K54" t="s">
        <v>24</v>
      </c>
      <c r="L54" t="s">
        <v>23</v>
      </c>
      <c r="M54">
        <v>120</v>
      </c>
      <c r="N54" t="s">
        <v>45</v>
      </c>
      <c r="O54">
        <v>12999</v>
      </c>
      <c r="P54" t="s">
        <v>1</v>
      </c>
      <c r="Q54">
        <v>67</v>
      </c>
      <c r="R54">
        <v>33</v>
      </c>
      <c r="S54"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54" s="9">
        <v>45549</v>
      </c>
      <c r="U54" s="9">
        <v>45616</v>
      </c>
      <c r="V54" s="9">
        <v>45582</v>
      </c>
      <c r="W54" t="s">
        <v>294</v>
      </c>
      <c r="X54" t="s">
        <v>68</v>
      </c>
    </row>
    <row r="55" spans="1:24" x14ac:dyDescent="0.3">
      <c r="A55" t="s">
        <v>153</v>
      </c>
      <c r="B55" t="s">
        <v>5</v>
      </c>
      <c r="C55" t="s">
        <v>3</v>
      </c>
      <c r="D55" t="s">
        <v>319</v>
      </c>
      <c r="E55" t="s">
        <v>269</v>
      </c>
      <c r="F55" t="s">
        <v>243</v>
      </c>
      <c r="G55" t="s">
        <v>154</v>
      </c>
      <c r="H55" t="s">
        <v>282</v>
      </c>
      <c r="I55" t="s">
        <v>6</v>
      </c>
      <c r="J55" t="s">
        <v>5</v>
      </c>
      <c r="K55" t="s">
        <v>24</v>
      </c>
      <c r="L55" t="s">
        <v>3</v>
      </c>
      <c r="M55">
        <v>100</v>
      </c>
      <c r="N55" t="s">
        <v>45</v>
      </c>
      <c r="O55">
        <v>12399</v>
      </c>
      <c r="P55" t="s">
        <v>1</v>
      </c>
      <c r="Q55">
        <v>67</v>
      </c>
      <c r="R55">
        <v>17</v>
      </c>
      <c r="S55"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55" s="9">
        <v>45549</v>
      </c>
      <c r="U55" s="9">
        <v>45616</v>
      </c>
      <c r="V55" s="9">
        <v>45566</v>
      </c>
      <c r="W55" t="s">
        <v>294</v>
      </c>
      <c r="X55" t="s">
        <v>68</v>
      </c>
    </row>
    <row r="56" spans="1:24" x14ac:dyDescent="0.3">
      <c r="A56" t="s">
        <v>44</v>
      </c>
      <c r="B56" t="s">
        <v>5</v>
      </c>
      <c r="C56" t="s">
        <v>321</v>
      </c>
      <c r="D56" t="s">
        <v>322</v>
      </c>
      <c r="E56" t="s">
        <v>152</v>
      </c>
      <c r="F56" t="s">
        <v>243</v>
      </c>
      <c r="G56" t="s">
        <v>17</v>
      </c>
      <c r="H56" t="s">
        <v>282</v>
      </c>
      <c r="I56" t="s">
        <v>6</v>
      </c>
      <c r="J56" t="s">
        <v>209</v>
      </c>
      <c r="K56" t="s">
        <v>46</v>
      </c>
      <c r="N56" t="s">
        <v>15</v>
      </c>
      <c r="O56">
        <v>21999</v>
      </c>
      <c r="P56" t="s">
        <v>1</v>
      </c>
      <c r="Q56">
        <v>67</v>
      </c>
      <c r="R56">
        <v>25</v>
      </c>
      <c r="S56"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56" s="9">
        <v>45549</v>
      </c>
      <c r="U56" s="9">
        <v>45616</v>
      </c>
      <c r="V56" s="9">
        <v>45574</v>
      </c>
      <c r="W56" t="s">
        <v>69</v>
      </c>
      <c r="X56" t="s">
        <v>68</v>
      </c>
    </row>
    <row r="57" spans="1:24" x14ac:dyDescent="0.3">
      <c r="A57" t="s">
        <v>150</v>
      </c>
      <c r="B57" t="s">
        <v>5</v>
      </c>
      <c r="C57" t="s">
        <v>3</v>
      </c>
      <c r="D57" t="s">
        <v>324</v>
      </c>
      <c r="E57" t="s">
        <v>270</v>
      </c>
      <c r="F57" t="s">
        <v>243</v>
      </c>
      <c r="G57" t="s">
        <v>151</v>
      </c>
      <c r="H57" t="s">
        <v>282</v>
      </c>
      <c r="I57" t="s">
        <v>6</v>
      </c>
      <c r="J57" t="s">
        <v>5</v>
      </c>
      <c r="K57" t="s">
        <v>24</v>
      </c>
      <c r="L57" t="s">
        <v>3</v>
      </c>
      <c r="M57">
        <v>80</v>
      </c>
      <c r="N57" t="s">
        <v>2</v>
      </c>
      <c r="O57">
        <v>10999</v>
      </c>
      <c r="P57" t="s">
        <v>1</v>
      </c>
      <c r="Q57">
        <v>67</v>
      </c>
      <c r="R57">
        <v>32</v>
      </c>
      <c r="S57"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57" s="9">
        <v>45549</v>
      </c>
      <c r="U57" s="9">
        <v>45616</v>
      </c>
      <c r="V57" s="9">
        <v>45581</v>
      </c>
      <c r="W57" t="s">
        <v>69</v>
      </c>
      <c r="X57" t="s">
        <v>68</v>
      </c>
    </row>
    <row r="58" spans="1:24" x14ac:dyDescent="0.3">
      <c r="A58" t="s">
        <v>328</v>
      </c>
      <c r="B58" t="s">
        <v>329</v>
      </c>
      <c r="C58" t="s">
        <v>321</v>
      </c>
      <c r="D58" t="s">
        <v>322</v>
      </c>
      <c r="E58" t="s">
        <v>149</v>
      </c>
      <c r="F58" t="s">
        <v>243</v>
      </c>
      <c r="G58" t="s">
        <v>148</v>
      </c>
      <c r="H58" t="s">
        <v>282</v>
      </c>
      <c r="I58" t="s">
        <v>6</v>
      </c>
      <c r="J58" t="s">
        <v>5</v>
      </c>
      <c r="K58" t="s">
        <v>24</v>
      </c>
      <c r="L58" t="s">
        <v>23</v>
      </c>
      <c r="M58">
        <v>80</v>
      </c>
      <c r="N58" t="s">
        <v>2</v>
      </c>
      <c r="O58">
        <v>10999</v>
      </c>
      <c r="P58" t="s">
        <v>1</v>
      </c>
      <c r="Q58">
        <v>66</v>
      </c>
      <c r="R58">
        <v>31</v>
      </c>
      <c r="S58"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58" s="9">
        <v>45550</v>
      </c>
      <c r="U58" s="9">
        <v>45616</v>
      </c>
      <c r="V58" s="9">
        <v>45581</v>
      </c>
      <c r="W58" t="s">
        <v>69</v>
      </c>
      <c r="X58" t="s">
        <v>68</v>
      </c>
    </row>
    <row r="59" spans="1:24" x14ac:dyDescent="0.3">
      <c r="A59" t="s">
        <v>328</v>
      </c>
      <c r="B59" t="s">
        <v>329</v>
      </c>
      <c r="C59" t="s">
        <v>321</v>
      </c>
      <c r="D59" t="s">
        <v>322</v>
      </c>
      <c r="E59" t="s">
        <v>149</v>
      </c>
      <c r="F59" t="s">
        <v>243</v>
      </c>
      <c r="G59" t="s">
        <v>148</v>
      </c>
      <c r="H59" t="s">
        <v>282</v>
      </c>
      <c r="I59" t="s">
        <v>6</v>
      </c>
      <c r="J59" t="s">
        <v>5</v>
      </c>
      <c r="K59" t="s">
        <v>24</v>
      </c>
      <c r="L59" t="s">
        <v>23</v>
      </c>
      <c r="M59">
        <v>80</v>
      </c>
      <c r="N59" t="s">
        <v>2</v>
      </c>
      <c r="O59">
        <v>10999</v>
      </c>
      <c r="P59" t="s">
        <v>1</v>
      </c>
      <c r="Q59">
        <v>66</v>
      </c>
      <c r="R59">
        <v>31</v>
      </c>
      <c r="S59"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59" s="9">
        <v>45550</v>
      </c>
      <c r="U59" s="9">
        <v>45616</v>
      </c>
      <c r="V59" s="9">
        <v>45581</v>
      </c>
      <c r="W59" t="s">
        <v>69</v>
      </c>
      <c r="X59" t="s">
        <v>68</v>
      </c>
    </row>
    <row r="60" spans="1:24" x14ac:dyDescent="0.3">
      <c r="A60" t="s">
        <v>328</v>
      </c>
      <c r="B60" t="s">
        <v>329</v>
      </c>
      <c r="C60" t="s">
        <v>321</v>
      </c>
      <c r="D60" t="s">
        <v>322</v>
      </c>
      <c r="E60" t="s">
        <v>147</v>
      </c>
      <c r="F60" t="s">
        <v>243</v>
      </c>
      <c r="G60" t="s">
        <v>146</v>
      </c>
      <c r="H60" t="s">
        <v>282</v>
      </c>
      <c r="I60" t="s">
        <v>6</v>
      </c>
      <c r="J60" t="s">
        <v>209</v>
      </c>
      <c r="K60" t="s">
        <v>46</v>
      </c>
      <c r="N60" t="s">
        <v>15</v>
      </c>
      <c r="O60">
        <v>21999</v>
      </c>
      <c r="P60" t="s">
        <v>1</v>
      </c>
      <c r="Q60">
        <v>66</v>
      </c>
      <c r="R60">
        <v>34</v>
      </c>
      <c r="S60"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60" s="9">
        <v>45550</v>
      </c>
      <c r="U60" s="9">
        <v>45616</v>
      </c>
      <c r="V60" s="9">
        <v>45584</v>
      </c>
      <c r="W60" t="s">
        <v>69</v>
      </c>
      <c r="X60" t="s">
        <v>68</v>
      </c>
    </row>
    <row r="61" spans="1:24" x14ac:dyDescent="0.3">
      <c r="A61" t="s">
        <v>328</v>
      </c>
      <c r="B61" t="s">
        <v>329</v>
      </c>
      <c r="C61" t="s">
        <v>321</v>
      </c>
      <c r="D61" t="s">
        <v>322</v>
      </c>
      <c r="E61" t="s">
        <v>145</v>
      </c>
      <c r="F61" t="s">
        <v>243</v>
      </c>
      <c r="G61" t="s">
        <v>12</v>
      </c>
      <c r="H61" t="s">
        <v>133</v>
      </c>
      <c r="I61" t="s">
        <v>6</v>
      </c>
      <c r="J61" t="s">
        <v>41</v>
      </c>
      <c r="K61" t="s">
        <v>57</v>
      </c>
      <c r="O61">
        <v>7849</v>
      </c>
      <c r="P61" t="s">
        <v>295</v>
      </c>
      <c r="Q61">
        <v>44</v>
      </c>
      <c r="R61">
        <v>59</v>
      </c>
      <c r="S61"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61" s="9">
        <v>45551</v>
      </c>
      <c r="U61" s="9">
        <v>45595</v>
      </c>
      <c r="V61" s="9">
        <v>45610</v>
      </c>
      <c r="W61" t="s">
        <v>294</v>
      </c>
      <c r="X61" t="s">
        <v>68</v>
      </c>
    </row>
    <row r="62" spans="1:24" x14ac:dyDescent="0.3">
      <c r="A62" t="s">
        <v>328</v>
      </c>
      <c r="B62" t="s">
        <v>329</v>
      </c>
      <c r="C62" t="s">
        <v>321</v>
      </c>
      <c r="D62" t="s">
        <v>322</v>
      </c>
      <c r="E62" t="s">
        <v>37</v>
      </c>
      <c r="F62" t="s">
        <v>247</v>
      </c>
      <c r="G62" t="s">
        <v>83</v>
      </c>
      <c r="H62" t="s">
        <v>287</v>
      </c>
      <c r="I62" t="s">
        <v>35</v>
      </c>
      <c r="J62" t="s">
        <v>5</v>
      </c>
      <c r="K62" t="s">
        <v>24</v>
      </c>
      <c r="L62" t="s">
        <v>23</v>
      </c>
      <c r="M62">
        <v>80</v>
      </c>
      <c r="N62" t="s">
        <v>2</v>
      </c>
      <c r="O62">
        <v>5074</v>
      </c>
      <c r="P62" t="s">
        <v>27</v>
      </c>
      <c r="Q62">
        <v>14</v>
      </c>
      <c r="R62">
        <v>21</v>
      </c>
      <c r="S62"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62" s="9">
        <v>45556</v>
      </c>
      <c r="U62" s="9">
        <v>45570</v>
      </c>
      <c r="V62" s="9">
        <v>45577</v>
      </c>
      <c r="W62" t="s">
        <v>69</v>
      </c>
      <c r="X62" t="s">
        <v>68</v>
      </c>
    </row>
    <row r="63" spans="1:24" x14ac:dyDescent="0.3">
      <c r="A63" t="s">
        <v>328</v>
      </c>
      <c r="B63" t="s">
        <v>329</v>
      </c>
      <c r="C63" t="s">
        <v>321</v>
      </c>
      <c r="D63" t="s">
        <v>322</v>
      </c>
      <c r="E63" t="s">
        <v>249</v>
      </c>
      <c r="F63" t="s">
        <v>247</v>
      </c>
      <c r="G63" t="s">
        <v>67</v>
      </c>
      <c r="H63" t="s">
        <v>282</v>
      </c>
      <c r="I63" t="s">
        <v>91</v>
      </c>
      <c r="J63" t="s">
        <v>5</v>
      </c>
      <c r="K63" t="s">
        <v>24</v>
      </c>
      <c r="L63" t="s">
        <v>31</v>
      </c>
      <c r="M63">
        <v>100</v>
      </c>
      <c r="N63" t="s">
        <v>144</v>
      </c>
      <c r="O63">
        <v>6250</v>
      </c>
      <c r="P63" t="s">
        <v>27</v>
      </c>
      <c r="Q63">
        <v>15</v>
      </c>
      <c r="R63">
        <v>24</v>
      </c>
      <c r="S63"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63" s="9">
        <v>45558</v>
      </c>
      <c r="U63" s="9">
        <v>45573</v>
      </c>
      <c r="V63" s="9">
        <v>45582</v>
      </c>
      <c r="W63" t="s">
        <v>69</v>
      </c>
      <c r="X63" t="s">
        <v>68</v>
      </c>
    </row>
    <row r="64" spans="1:24" x14ac:dyDescent="0.3">
      <c r="A64" t="s">
        <v>328</v>
      </c>
      <c r="B64" t="s">
        <v>329</v>
      </c>
      <c r="C64" t="s">
        <v>321</v>
      </c>
      <c r="D64" t="s">
        <v>322</v>
      </c>
      <c r="E64" t="s">
        <v>249</v>
      </c>
      <c r="F64" t="s">
        <v>247</v>
      </c>
      <c r="G64" t="s">
        <v>67</v>
      </c>
      <c r="H64" t="s">
        <v>282</v>
      </c>
      <c r="I64" t="s">
        <v>91</v>
      </c>
      <c r="J64" t="s">
        <v>5</v>
      </c>
      <c r="K64" t="s">
        <v>24</v>
      </c>
      <c r="L64" t="s">
        <v>31</v>
      </c>
      <c r="M64">
        <v>100</v>
      </c>
      <c r="N64" t="s">
        <v>144</v>
      </c>
      <c r="O64">
        <v>6250</v>
      </c>
      <c r="P64" t="s">
        <v>27</v>
      </c>
      <c r="Q64">
        <v>15</v>
      </c>
      <c r="R64">
        <v>24</v>
      </c>
      <c r="S64"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64" s="9">
        <v>45558</v>
      </c>
      <c r="U64" s="9">
        <v>45573</v>
      </c>
      <c r="V64" s="9">
        <v>45582</v>
      </c>
      <c r="W64" t="s">
        <v>69</v>
      </c>
      <c r="X64" t="s">
        <v>68</v>
      </c>
    </row>
    <row r="65" spans="1:24" x14ac:dyDescent="0.3">
      <c r="A65" t="s">
        <v>328</v>
      </c>
      <c r="B65" t="s">
        <v>329</v>
      </c>
      <c r="C65" t="s">
        <v>321</v>
      </c>
      <c r="D65" t="s">
        <v>322</v>
      </c>
      <c r="E65" t="s">
        <v>143</v>
      </c>
      <c r="F65" t="s">
        <v>243</v>
      </c>
      <c r="G65" t="s">
        <v>67</v>
      </c>
      <c r="H65" t="s">
        <v>282</v>
      </c>
      <c r="I65" t="s">
        <v>6</v>
      </c>
      <c r="J65" t="s">
        <v>5</v>
      </c>
      <c r="K65" t="s">
        <v>52</v>
      </c>
      <c r="L65" t="s">
        <v>51</v>
      </c>
      <c r="M65">
        <v>120</v>
      </c>
      <c r="N65" t="s">
        <v>2</v>
      </c>
      <c r="O65">
        <v>8943</v>
      </c>
      <c r="P65" t="s">
        <v>295</v>
      </c>
      <c r="Q65">
        <v>45</v>
      </c>
      <c r="R65">
        <v>14</v>
      </c>
      <c r="S65"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65" s="9">
        <v>45561</v>
      </c>
      <c r="U65" s="9">
        <v>45606</v>
      </c>
      <c r="V65" s="9">
        <v>45575</v>
      </c>
      <c r="W65" t="s">
        <v>69</v>
      </c>
      <c r="X65" t="s">
        <v>68</v>
      </c>
    </row>
    <row r="66" spans="1:24" x14ac:dyDescent="0.3">
      <c r="A66" t="s">
        <v>328</v>
      </c>
      <c r="B66" t="s">
        <v>329</v>
      </c>
      <c r="C66" t="s">
        <v>321</v>
      </c>
      <c r="D66" t="s">
        <v>322</v>
      </c>
      <c r="E66" t="s">
        <v>32</v>
      </c>
      <c r="F66" t="s">
        <v>247</v>
      </c>
      <c r="G66" t="s">
        <v>142</v>
      </c>
      <c r="H66" t="s">
        <v>282</v>
      </c>
      <c r="I66" t="s">
        <v>32</v>
      </c>
      <c r="J66" t="s">
        <v>209</v>
      </c>
      <c r="K66" t="s">
        <v>72</v>
      </c>
      <c r="O66">
        <v>14950</v>
      </c>
      <c r="P66" t="s">
        <v>1</v>
      </c>
      <c r="Q66">
        <v>18</v>
      </c>
      <c r="R66">
        <v>17</v>
      </c>
      <c r="S66"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66" s="9">
        <v>45561</v>
      </c>
      <c r="U66" s="9">
        <v>45579</v>
      </c>
      <c r="V66" s="9">
        <v>45578</v>
      </c>
      <c r="W66" t="s">
        <v>69</v>
      </c>
      <c r="X66" t="s">
        <v>68</v>
      </c>
    </row>
    <row r="67" spans="1:24" x14ac:dyDescent="0.3">
      <c r="A67" t="s">
        <v>328</v>
      </c>
      <c r="B67" t="s">
        <v>329</v>
      </c>
      <c r="C67" t="s">
        <v>321</v>
      </c>
      <c r="D67" t="s">
        <v>322</v>
      </c>
      <c r="E67" t="s">
        <v>32</v>
      </c>
      <c r="F67" t="s">
        <v>247</v>
      </c>
      <c r="H67" t="s">
        <v>314</v>
      </c>
      <c r="I67" t="s">
        <v>32</v>
      </c>
      <c r="J67" t="s">
        <v>5</v>
      </c>
      <c r="K67" t="s">
        <v>52</v>
      </c>
      <c r="L67" t="s">
        <v>110</v>
      </c>
      <c r="M67">
        <v>120</v>
      </c>
      <c r="N67" t="s">
        <v>2</v>
      </c>
      <c r="O67">
        <v>7433</v>
      </c>
      <c r="P67" t="s">
        <v>1</v>
      </c>
      <c r="Q67">
        <v>21</v>
      </c>
      <c r="R67">
        <v>22</v>
      </c>
      <c r="S67"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67" s="9">
        <v>45564</v>
      </c>
      <c r="U67" s="9">
        <v>45585</v>
      </c>
      <c r="V67" s="9">
        <v>45586</v>
      </c>
      <c r="W67" t="s">
        <v>69</v>
      </c>
      <c r="X67" t="s">
        <v>68</v>
      </c>
    </row>
    <row r="68" spans="1:24" x14ac:dyDescent="0.3">
      <c r="A68" t="s">
        <v>328</v>
      </c>
      <c r="B68" t="s">
        <v>329</v>
      </c>
      <c r="C68" t="s">
        <v>321</v>
      </c>
      <c r="D68" t="s">
        <v>322</v>
      </c>
      <c r="E68" t="s">
        <v>37</v>
      </c>
      <c r="F68" t="s">
        <v>247</v>
      </c>
      <c r="G68" t="s">
        <v>83</v>
      </c>
      <c r="H68" t="s">
        <v>287</v>
      </c>
      <c r="I68" t="s">
        <v>35</v>
      </c>
      <c r="J68" t="s">
        <v>5</v>
      </c>
      <c r="K68" t="s">
        <v>52</v>
      </c>
      <c r="L68" t="s">
        <v>51</v>
      </c>
      <c r="M68">
        <v>120</v>
      </c>
      <c r="N68" t="s">
        <v>2</v>
      </c>
      <c r="O68">
        <v>4020</v>
      </c>
      <c r="P68" t="s">
        <v>27</v>
      </c>
      <c r="Q68">
        <v>13</v>
      </c>
      <c r="R68">
        <v>13</v>
      </c>
      <c r="S68"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68" s="9">
        <v>45564</v>
      </c>
      <c r="U68" s="9">
        <v>45577</v>
      </c>
      <c r="V68" s="9">
        <v>45577</v>
      </c>
      <c r="W68" t="s">
        <v>69</v>
      </c>
      <c r="X68" t="s">
        <v>68</v>
      </c>
    </row>
    <row r="69" spans="1:24" x14ac:dyDescent="0.3">
      <c r="A69" t="s">
        <v>328</v>
      </c>
      <c r="B69" t="s">
        <v>329</v>
      </c>
      <c r="C69" t="s">
        <v>321</v>
      </c>
      <c r="D69" t="s">
        <v>322</v>
      </c>
      <c r="E69" t="s">
        <v>135</v>
      </c>
      <c r="F69" t="s">
        <v>243</v>
      </c>
      <c r="G69" t="s">
        <v>134</v>
      </c>
      <c r="H69" t="s">
        <v>133</v>
      </c>
      <c r="I69" t="s">
        <v>133</v>
      </c>
      <c r="J69" t="s">
        <v>5</v>
      </c>
      <c r="K69" t="s">
        <v>24</v>
      </c>
      <c r="L69" t="s">
        <v>141</v>
      </c>
      <c r="M69">
        <v>100</v>
      </c>
      <c r="N69" t="s">
        <v>140</v>
      </c>
      <c r="O69">
        <v>8544.9054400000005</v>
      </c>
      <c r="P69">
        <v>0</v>
      </c>
      <c r="Q69">
        <v>8</v>
      </c>
      <c r="R69">
        <v>8</v>
      </c>
      <c r="S69"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69" s="9">
        <v>45566</v>
      </c>
      <c r="U69" s="9">
        <v>45574</v>
      </c>
      <c r="V69" s="9">
        <v>45574</v>
      </c>
      <c r="W69" t="s">
        <v>131</v>
      </c>
      <c r="X69" t="s">
        <v>68</v>
      </c>
    </row>
    <row r="70" spans="1:24" x14ac:dyDescent="0.3">
      <c r="A70" t="s">
        <v>328</v>
      </c>
      <c r="B70" t="s">
        <v>329</v>
      </c>
      <c r="C70" t="s">
        <v>321</v>
      </c>
      <c r="D70" t="s">
        <v>322</v>
      </c>
      <c r="E70" t="s">
        <v>135</v>
      </c>
      <c r="F70" t="s">
        <v>243</v>
      </c>
      <c r="G70" t="s">
        <v>134</v>
      </c>
      <c r="H70" t="s">
        <v>133</v>
      </c>
      <c r="I70" t="s">
        <v>133</v>
      </c>
      <c r="J70" t="s">
        <v>5</v>
      </c>
      <c r="K70" t="s">
        <v>38</v>
      </c>
      <c r="N70" t="s">
        <v>139</v>
      </c>
      <c r="O70">
        <v>4600</v>
      </c>
      <c r="P70">
        <v>0</v>
      </c>
      <c r="Q70">
        <v>8</v>
      </c>
      <c r="R70">
        <v>8</v>
      </c>
      <c r="S70"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70" s="9">
        <v>45566</v>
      </c>
      <c r="U70" s="9">
        <v>45574</v>
      </c>
      <c r="V70" s="9">
        <v>45574</v>
      </c>
      <c r="W70" t="s">
        <v>131</v>
      </c>
      <c r="X70" t="s">
        <v>68</v>
      </c>
    </row>
    <row r="71" spans="1:24" x14ac:dyDescent="0.3">
      <c r="A71" t="s">
        <v>328</v>
      </c>
      <c r="B71" t="s">
        <v>329</v>
      </c>
      <c r="C71" t="s">
        <v>321</v>
      </c>
      <c r="D71" t="s">
        <v>322</v>
      </c>
      <c r="E71" t="s">
        <v>135</v>
      </c>
      <c r="F71" t="s">
        <v>243</v>
      </c>
      <c r="G71" t="s">
        <v>134</v>
      </c>
      <c r="H71" t="s">
        <v>133</v>
      </c>
      <c r="I71" t="s">
        <v>133</v>
      </c>
      <c r="J71" t="s">
        <v>209</v>
      </c>
      <c r="K71" t="s">
        <v>137</v>
      </c>
      <c r="N71" t="s">
        <v>15</v>
      </c>
      <c r="O71">
        <v>10000</v>
      </c>
      <c r="P71">
        <v>0</v>
      </c>
      <c r="Q71">
        <v>8</v>
      </c>
      <c r="R71">
        <v>8</v>
      </c>
      <c r="S71"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71" s="9">
        <v>45566</v>
      </c>
      <c r="U71" s="9">
        <v>45574</v>
      </c>
      <c r="V71" s="9">
        <v>45574</v>
      </c>
      <c r="W71" t="s">
        <v>131</v>
      </c>
      <c r="X71" t="s">
        <v>68</v>
      </c>
    </row>
    <row r="72" spans="1:24" x14ac:dyDescent="0.3">
      <c r="A72" t="s">
        <v>328</v>
      </c>
      <c r="B72" t="s">
        <v>329</v>
      </c>
      <c r="C72" t="s">
        <v>321</v>
      </c>
      <c r="D72" t="s">
        <v>322</v>
      </c>
      <c r="E72" t="s">
        <v>135</v>
      </c>
      <c r="F72" t="s">
        <v>243</v>
      </c>
      <c r="G72" t="s">
        <v>134</v>
      </c>
      <c r="H72" t="s">
        <v>133</v>
      </c>
      <c r="I72" t="s">
        <v>133</v>
      </c>
      <c r="J72" t="s">
        <v>132</v>
      </c>
      <c r="N72" t="s">
        <v>15</v>
      </c>
      <c r="O72">
        <v>10000</v>
      </c>
      <c r="P72">
        <v>0</v>
      </c>
      <c r="Q72">
        <v>8</v>
      </c>
      <c r="R72">
        <v>8</v>
      </c>
      <c r="S72"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72" s="9">
        <v>45566</v>
      </c>
      <c r="U72" s="9">
        <v>45574</v>
      </c>
      <c r="V72" s="9">
        <v>45574</v>
      </c>
      <c r="W72" t="s">
        <v>131</v>
      </c>
      <c r="X72" t="s">
        <v>68</v>
      </c>
    </row>
    <row r="73" spans="1:24" x14ac:dyDescent="0.3">
      <c r="A73" t="s">
        <v>328</v>
      </c>
      <c r="B73" t="s">
        <v>329</v>
      </c>
      <c r="C73" t="s">
        <v>321</v>
      </c>
      <c r="D73" t="s">
        <v>322</v>
      </c>
      <c r="E73" t="s">
        <v>32</v>
      </c>
      <c r="F73" t="s">
        <v>247</v>
      </c>
      <c r="G73" t="s">
        <v>73</v>
      </c>
      <c r="H73" t="s">
        <v>315</v>
      </c>
      <c r="I73" t="s">
        <v>32</v>
      </c>
      <c r="J73" t="s">
        <v>209</v>
      </c>
      <c r="K73" t="s">
        <v>72</v>
      </c>
      <c r="N73" t="s">
        <v>10</v>
      </c>
      <c r="O73">
        <v>14550</v>
      </c>
      <c r="P73" t="s">
        <v>1</v>
      </c>
      <c r="Q73">
        <v>21</v>
      </c>
      <c r="R73">
        <v>22</v>
      </c>
      <c r="S73"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73" s="9">
        <v>45573</v>
      </c>
      <c r="U73" s="9">
        <v>45594</v>
      </c>
      <c r="V73" s="9">
        <v>45595</v>
      </c>
      <c r="W73" t="s">
        <v>69</v>
      </c>
      <c r="X73" t="s">
        <v>68</v>
      </c>
    </row>
    <row r="74" spans="1:24" x14ac:dyDescent="0.3">
      <c r="A74" t="s">
        <v>328</v>
      </c>
      <c r="B74" t="s">
        <v>329</v>
      </c>
      <c r="C74" t="s">
        <v>321</v>
      </c>
      <c r="D74" t="s">
        <v>322</v>
      </c>
      <c r="E74" t="s">
        <v>32</v>
      </c>
      <c r="F74" t="s">
        <v>247</v>
      </c>
      <c r="G74" t="s">
        <v>130</v>
      </c>
      <c r="H74" t="s">
        <v>283</v>
      </c>
      <c r="I74" t="s">
        <v>32</v>
      </c>
      <c r="J74" t="s">
        <v>209</v>
      </c>
      <c r="K74" t="s">
        <v>72</v>
      </c>
      <c r="N74" t="s">
        <v>10</v>
      </c>
      <c r="O74">
        <v>14550</v>
      </c>
      <c r="P74" t="s">
        <v>1</v>
      </c>
      <c r="Q74">
        <v>22</v>
      </c>
      <c r="R74">
        <v>8</v>
      </c>
      <c r="S74"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74" s="9">
        <v>45572</v>
      </c>
      <c r="U74" s="9">
        <v>45594</v>
      </c>
      <c r="V74" s="9">
        <v>45580</v>
      </c>
      <c r="W74" t="s">
        <v>69</v>
      </c>
      <c r="X74" t="s">
        <v>68</v>
      </c>
    </row>
    <row r="75" spans="1:24" x14ac:dyDescent="0.3">
      <c r="A75" t="s">
        <v>328</v>
      </c>
      <c r="B75" t="s">
        <v>329</v>
      </c>
      <c r="C75" t="s">
        <v>321</v>
      </c>
      <c r="D75" t="s">
        <v>322</v>
      </c>
      <c r="E75" t="s">
        <v>32</v>
      </c>
      <c r="F75" t="s">
        <v>247</v>
      </c>
      <c r="H75" t="s">
        <v>314</v>
      </c>
      <c r="I75" t="s">
        <v>32</v>
      </c>
      <c r="J75" t="s">
        <v>209</v>
      </c>
      <c r="K75" t="s">
        <v>72</v>
      </c>
      <c r="N75" t="s">
        <v>10</v>
      </c>
      <c r="O75">
        <v>14550</v>
      </c>
      <c r="P75" t="s">
        <v>295</v>
      </c>
      <c r="Q75">
        <v>21</v>
      </c>
      <c r="R75">
        <v>23</v>
      </c>
      <c r="S75"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75" s="9">
        <v>45575</v>
      </c>
      <c r="U75" s="9">
        <v>45596</v>
      </c>
      <c r="V75" s="9">
        <v>45598</v>
      </c>
      <c r="W75" t="s">
        <v>69</v>
      </c>
      <c r="X75" t="s">
        <v>68</v>
      </c>
    </row>
    <row r="76" spans="1:24" x14ac:dyDescent="0.3">
      <c r="A76" t="s">
        <v>328</v>
      </c>
      <c r="B76" t="s">
        <v>329</v>
      </c>
      <c r="C76" t="s">
        <v>321</v>
      </c>
      <c r="D76" t="s">
        <v>322</v>
      </c>
      <c r="E76" t="s">
        <v>128</v>
      </c>
      <c r="F76" t="s">
        <v>243</v>
      </c>
      <c r="G76" t="s">
        <v>127</v>
      </c>
      <c r="H76" t="s">
        <v>282</v>
      </c>
      <c r="I76" t="s">
        <v>6</v>
      </c>
      <c r="J76" t="s">
        <v>5</v>
      </c>
      <c r="K76" t="s">
        <v>24</v>
      </c>
      <c r="L76" t="s">
        <v>126</v>
      </c>
      <c r="M76" t="s">
        <v>125</v>
      </c>
      <c r="N76" t="s">
        <v>120</v>
      </c>
      <c r="O76">
        <v>12899</v>
      </c>
      <c r="P76" t="s">
        <v>295</v>
      </c>
      <c r="Q76">
        <v>65</v>
      </c>
      <c r="R76">
        <v>20</v>
      </c>
      <c r="S76"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76" s="9">
        <v>45578</v>
      </c>
      <c r="U76" s="9">
        <v>45643</v>
      </c>
      <c r="V76" s="9">
        <v>45598</v>
      </c>
      <c r="W76" t="s">
        <v>69</v>
      </c>
      <c r="X76" t="s">
        <v>68</v>
      </c>
    </row>
    <row r="77" spans="1:24" x14ac:dyDescent="0.3">
      <c r="A77" t="s">
        <v>328</v>
      </c>
      <c r="B77" t="s">
        <v>329</v>
      </c>
      <c r="C77" t="s">
        <v>321</v>
      </c>
      <c r="D77" t="s">
        <v>322</v>
      </c>
      <c r="E77" t="s">
        <v>124</v>
      </c>
      <c r="F77" t="s">
        <v>243</v>
      </c>
      <c r="G77" t="s">
        <v>97</v>
      </c>
      <c r="H77" t="s">
        <v>282</v>
      </c>
      <c r="I77" t="s">
        <v>6</v>
      </c>
      <c r="J77" t="s">
        <v>5</v>
      </c>
      <c r="K77" t="s">
        <v>24</v>
      </c>
      <c r="L77" t="s">
        <v>23</v>
      </c>
      <c r="M77">
        <v>80</v>
      </c>
      <c r="N77" t="s">
        <v>2</v>
      </c>
      <c r="O77">
        <v>10499</v>
      </c>
      <c r="P77" t="s">
        <v>1</v>
      </c>
      <c r="Q77">
        <v>64</v>
      </c>
      <c r="R77">
        <v>5</v>
      </c>
      <c r="S77"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77" s="9">
        <v>45581</v>
      </c>
      <c r="U77" s="9">
        <v>45645</v>
      </c>
      <c r="V77" s="9">
        <v>45586</v>
      </c>
      <c r="W77" t="s">
        <v>69</v>
      </c>
      <c r="X77" t="s">
        <v>68</v>
      </c>
    </row>
    <row r="78" spans="1:24" x14ac:dyDescent="0.3">
      <c r="A78" t="s">
        <v>328</v>
      </c>
      <c r="B78" t="s">
        <v>329</v>
      </c>
      <c r="C78" t="s">
        <v>321</v>
      </c>
      <c r="D78" t="s">
        <v>322</v>
      </c>
      <c r="E78" t="s">
        <v>123</v>
      </c>
      <c r="F78" t="s">
        <v>243</v>
      </c>
      <c r="G78" t="s">
        <v>122</v>
      </c>
      <c r="H78" t="s">
        <v>284</v>
      </c>
      <c r="I78" t="s">
        <v>6</v>
      </c>
      <c r="J78" t="s">
        <v>5</v>
      </c>
      <c r="K78" t="s">
        <v>24</v>
      </c>
      <c r="L78" t="s">
        <v>3</v>
      </c>
      <c r="M78" t="s">
        <v>121</v>
      </c>
      <c r="N78" t="s">
        <v>120</v>
      </c>
      <c r="O78">
        <v>12899</v>
      </c>
      <c r="P78" t="s">
        <v>1</v>
      </c>
      <c r="Q78">
        <v>66</v>
      </c>
      <c r="R78">
        <v>47</v>
      </c>
      <c r="S78"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78" s="9">
        <v>45582</v>
      </c>
      <c r="U78" s="9">
        <v>45648</v>
      </c>
      <c r="V78" s="9">
        <v>45629</v>
      </c>
      <c r="W78" t="s">
        <v>294</v>
      </c>
      <c r="X78" t="s">
        <v>68</v>
      </c>
    </row>
    <row r="79" spans="1:24" x14ac:dyDescent="0.3">
      <c r="A79" t="s">
        <v>328</v>
      </c>
      <c r="B79" t="s">
        <v>329</v>
      </c>
      <c r="C79" t="s">
        <v>321</v>
      </c>
      <c r="D79" t="s">
        <v>322</v>
      </c>
      <c r="E79" t="s">
        <v>119</v>
      </c>
      <c r="F79" t="s">
        <v>243</v>
      </c>
      <c r="G79" t="s">
        <v>118</v>
      </c>
      <c r="H79" t="s">
        <v>283</v>
      </c>
      <c r="I79" t="s">
        <v>107</v>
      </c>
      <c r="J79" t="s">
        <v>5</v>
      </c>
      <c r="K79" t="s">
        <v>52</v>
      </c>
      <c r="L79" t="s">
        <v>117</v>
      </c>
      <c r="M79">
        <v>140</v>
      </c>
      <c r="N79" t="s">
        <v>116</v>
      </c>
      <c r="O79">
        <v>5135</v>
      </c>
      <c r="P79" t="s">
        <v>1</v>
      </c>
      <c r="Q79">
        <v>28</v>
      </c>
      <c r="R79">
        <v>25</v>
      </c>
      <c r="S79"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79" s="9">
        <v>45585</v>
      </c>
      <c r="U79" s="9">
        <v>45613</v>
      </c>
      <c r="V79" s="9">
        <v>45610</v>
      </c>
      <c r="W79" t="s">
        <v>69</v>
      </c>
      <c r="X79" t="s">
        <v>68</v>
      </c>
    </row>
    <row r="80" spans="1:24" x14ac:dyDescent="0.3">
      <c r="A80" t="s">
        <v>328</v>
      </c>
      <c r="B80" t="s">
        <v>329</v>
      </c>
      <c r="C80" t="s">
        <v>321</v>
      </c>
      <c r="D80" t="s">
        <v>322</v>
      </c>
      <c r="E80" t="s">
        <v>32</v>
      </c>
      <c r="F80" t="s">
        <v>247</v>
      </c>
      <c r="G80" t="s">
        <v>42</v>
      </c>
      <c r="H80" t="s">
        <v>283</v>
      </c>
      <c r="I80" t="s">
        <v>32</v>
      </c>
      <c r="J80" t="s">
        <v>5</v>
      </c>
      <c r="K80" t="s">
        <v>24</v>
      </c>
      <c r="L80" t="s">
        <v>34</v>
      </c>
      <c r="M80">
        <v>100</v>
      </c>
      <c r="N80" t="s">
        <v>33</v>
      </c>
      <c r="O80">
        <v>12777.5</v>
      </c>
      <c r="P80" t="s">
        <v>295</v>
      </c>
      <c r="Q80">
        <v>21</v>
      </c>
      <c r="R80">
        <v>27</v>
      </c>
      <c r="S80"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80" s="9">
        <v>45587</v>
      </c>
      <c r="U80" s="9">
        <v>45608</v>
      </c>
      <c r="V80" s="9">
        <v>45614</v>
      </c>
      <c r="W80" t="s">
        <v>69</v>
      </c>
      <c r="X80" t="s">
        <v>68</v>
      </c>
    </row>
    <row r="81" spans="1:24" x14ac:dyDescent="0.3">
      <c r="A81" t="s">
        <v>328</v>
      </c>
      <c r="B81" t="s">
        <v>329</v>
      </c>
      <c r="C81" t="s">
        <v>321</v>
      </c>
      <c r="D81" t="s">
        <v>322</v>
      </c>
      <c r="E81" t="s">
        <v>32</v>
      </c>
      <c r="F81" t="s">
        <v>247</v>
      </c>
      <c r="G81" t="s">
        <v>42</v>
      </c>
      <c r="H81" t="s">
        <v>283</v>
      </c>
      <c r="I81" t="s">
        <v>32</v>
      </c>
      <c r="J81" t="s">
        <v>5</v>
      </c>
      <c r="K81" t="s">
        <v>24</v>
      </c>
      <c r="L81" t="s">
        <v>34</v>
      </c>
      <c r="M81">
        <v>100</v>
      </c>
      <c r="N81" t="s">
        <v>33</v>
      </c>
      <c r="O81">
        <v>12777.5</v>
      </c>
      <c r="P81" t="s">
        <v>295</v>
      </c>
      <c r="Q81">
        <v>21</v>
      </c>
      <c r="R81">
        <v>27</v>
      </c>
      <c r="S81"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81" s="9">
        <v>45587</v>
      </c>
      <c r="U81" s="9">
        <v>45608</v>
      </c>
      <c r="V81" s="9">
        <v>45614</v>
      </c>
      <c r="W81" t="s">
        <v>69</v>
      </c>
      <c r="X81" t="s">
        <v>68</v>
      </c>
    </row>
    <row r="82" spans="1:24" x14ac:dyDescent="0.3">
      <c r="A82" t="s">
        <v>328</v>
      </c>
      <c r="B82" t="s">
        <v>329</v>
      </c>
      <c r="C82" t="s">
        <v>321</v>
      </c>
      <c r="D82" t="s">
        <v>322</v>
      </c>
      <c r="E82" t="s">
        <v>114</v>
      </c>
      <c r="F82" t="s">
        <v>243</v>
      </c>
      <c r="G82" t="s">
        <v>113</v>
      </c>
      <c r="H82" t="s">
        <v>283</v>
      </c>
      <c r="I82" t="s">
        <v>6</v>
      </c>
      <c r="J82" t="s">
        <v>5</v>
      </c>
      <c r="K82" t="s">
        <v>52</v>
      </c>
      <c r="L82" t="s">
        <v>51</v>
      </c>
      <c r="M82">
        <v>120</v>
      </c>
      <c r="N82" t="s">
        <v>2</v>
      </c>
      <c r="O82">
        <v>8943</v>
      </c>
      <c r="P82" t="s">
        <v>295</v>
      </c>
      <c r="Q82">
        <v>24</v>
      </c>
      <c r="R82">
        <v>28</v>
      </c>
      <c r="S82"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82" s="9">
        <v>45586</v>
      </c>
      <c r="U82" s="9">
        <v>45610</v>
      </c>
      <c r="V82" s="9">
        <v>45614</v>
      </c>
      <c r="W82" t="s">
        <v>69</v>
      </c>
      <c r="X82" t="s">
        <v>68</v>
      </c>
    </row>
    <row r="83" spans="1:24" x14ac:dyDescent="0.3">
      <c r="A83" t="s">
        <v>328</v>
      </c>
      <c r="B83" t="s">
        <v>329</v>
      </c>
      <c r="C83" t="s">
        <v>321</v>
      </c>
      <c r="D83" t="s">
        <v>322</v>
      </c>
      <c r="E83" t="s">
        <v>32</v>
      </c>
      <c r="F83" t="s">
        <v>247</v>
      </c>
      <c r="H83" t="s">
        <v>314</v>
      </c>
      <c r="I83" t="s">
        <v>32</v>
      </c>
      <c r="J83" t="s">
        <v>209</v>
      </c>
      <c r="K83" t="s">
        <v>72</v>
      </c>
      <c r="N83" t="s">
        <v>15</v>
      </c>
      <c r="O83">
        <v>15516</v>
      </c>
      <c r="P83" t="s">
        <v>1</v>
      </c>
      <c r="Q83">
        <v>21</v>
      </c>
      <c r="R83">
        <v>6</v>
      </c>
      <c r="S83"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83" s="9">
        <v>45589</v>
      </c>
      <c r="U83" s="9">
        <v>45610</v>
      </c>
      <c r="V83" s="9">
        <v>45595</v>
      </c>
      <c r="W83" t="s">
        <v>69</v>
      </c>
      <c r="X83" t="s">
        <v>68</v>
      </c>
    </row>
    <row r="84" spans="1:24" x14ac:dyDescent="0.3">
      <c r="A84" t="s">
        <v>328</v>
      </c>
      <c r="B84" t="s">
        <v>329</v>
      </c>
      <c r="C84" t="s">
        <v>321</v>
      </c>
      <c r="D84" t="s">
        <v>322</v>
      </c>
      <c r="E84" t="s">
        <v>99</v>
      </c>
      <c r="F84" t="s">
        <v>243</v>
      </c>
      <c r="G84" t="s">
        <v>112</v>
      </c>
      <c r="H84" t="s">
        <v>283</v>
      </c>
      <c r="I84" t="s">
        <v>6</v>
      </c>
      <c r="J84" t="s">
        <v>5</v>
      </c>
      <c r="K84" t="s">
        <v>24</v>
      </c>
      <c r="L84" t="s">
        <v>31</v>
      </c>
      <c r="M84">
        <v>90</v>
      </c>
      <c r="N84" t="s">
        <v>15</v>
      </c>
      <c r="O84">
        <v>11649</v>
      </c>
      <c r="P84" t="s">
        <v>295</v>
      </c>
      <c r="Q84">
        <v>15</v>
      </c>
      <c r="R84">
        <v>23</v>
      </c>
      <c r="S84"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84" s="9">
        <v>45591</v>
      </c>
      <c r="U84" s="9">
        <v>45606</v>
      </c>
      <c r="V84" s="9">
        <v>45614</v>
      </c>
      <c r="W84" t="s">
        <v>69</v>
      </c>
      <c r="X84" t="s">
        <v>68</v>
      </c>
    </row>
    <row r="85" spans="1:24" x14ac:dyDescent="0.3">
      <c r="A85" t="s">
        <v>328</v>
      </c>
      <c r="B85" t="s">
        <v>329</v>
      </c>
      <c r="C85" t="s">
        <v>321</v>
      </c>
      <c r="D85" t="s">
        <v>322</v>
      </c>
      <c r="E85" t="s">
        <v>99</v>
      </c>
      <c r="F85" t="s">
        <v>243</v>
      </c>
      <c r="G85" t="s">
        <v>112</v>
      </c>
      <c r="H85" t="s">
        <v>283</v>
      </c>
      <c r="I85" t="s">
        <v>6</v>
      </c>
      <c r="J85" t="s">
        <v>5</v>
      </c>
      <c r="K85" t="s">
        <v>24</v>
      </c>
      <c r="L85" t="s">
        <v>31</v>
      </c>
      <c r="M85">
        <v>90</v>
      </c>
      <c r="N85" t="s">
        <v>15</v>
      </c>
      <c r="O85">
        <v>11649</v>
      </c>
      <c r="P85" t="s">
        <v>295</v>
      </c>
      <c r="Q85">
        <v>15</v>
      </c>
      <c r="R85">
        <v>23</v>
      </c>
      <c r="S85"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85" s="9">
        <v>45591</v>
      </c>
      <c r="U85" s="9">
        <v>45606</v>
      </c>
      <c r="V85" s="9">
        <v>45614</v>
      </c>
      <c r="W85" t="s">
        <v>69</v>
      </c>
      <c r="X85" t="s">
        <v>68</v>
      </c>
    </row>
    <row r="86" spans="1:24" x14ac:dyDescent="0.3">
      <c r="A86" t="s">
        <v>328</v>
      </c>
      <c r="B86" t="s">
        <v>329</v>
      </c>
      <c r="C86" t="s">
        <v>321</v>
      </c>
      <c r="D86" t="s">
        <v>322</v>
      </c>
      <c r="E86" t="s">
        <v>111</v>
      </c>
      <c r="F86" t="s">
        <v>243</v>
      </c>
      <c r="G86" t="s">
        <v>58</v>
      </c>
      <c r="H86" t="s">
        <v>282</v>
      </c>
      <c r="I86" t="s">
        <v>6</v>
      </c>
      <c r="J86" t="s">
        <v>5</v>
      </c>
      <c r="K86" t="s">
        <v>52</v>
      </c>
      <c r="L86" t="s">
        <v>110</v>
      </c>
      <c r="M86">
        <v>100</v>
      </c>
      <c r="N86" t="s">
        <v>2</v>
      </c>
      <c r="O86">
        <v>5100</v>
      </c>
      <c r="P86" t="s">
        <v>295</v>
      </c>
      <c r="Q86">
        <v>14</v>
      </c>
      <c r="R86">
        <v>24</v>
      </c>
      <c r="S86"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86" s="9">
        <v>45593</v>
      </c>
      <c r="U86" s="9">
        <v>45607</v>
      </c>
      <c r="V86" s="9">
        <v>45617</v>
      </c>
      <c r="W86" t="s">
        <v>69</v>
      </c>
      <c r="X86" t="s">
        <v>68</v>
      </c>
    </row>
    <row r="87" spans="1:24" x14ac:dyDescent="0.3">
      <c r="A87" t="s">
        <v>328</v>
      </c>
      <c r="B87" t="s">
        <v>329</v>
      </c>
      <c r="C87" t="s">
        <v>321</v>
      </c>
      <c r="D87" t="s">
        <v>322</v>
      </c>
      <c r="E87" t="s">
        <v>111</v>
      </c>
      <c r="F87" t="s">
        <v>243</v>
      </c>
      <c r="G87" t="s">
        <v>58</v>
      </c>
      <c r="H87" t="s">
        <v>282</v>
      </c>
      <c r="I87" t="s">
        <v>6</v>
      </c>
      <c r="J87" t="s">
        <v>5</v>
      </c>
      <c r="K87" t="s">
        <v>52</v>
      </c>
      <c r="L87" t="s">
        <v>110</v>
      </c>
      <c r="M87">
        <v>120</v>
      </c>
      <c r="N87" t="s">
        <v>2</v>
      </c>
      <c r="O87">
        <v>5300</v>
      </c>
      <c r="P87" t="s">
        <v>295</v>
      </c>
      <c r="Q87">
        <v>14</v>
      </c>
      <c r="R87">
        <v>24</v>
      </c>
      <c r="S87"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87" s="9">
        <v>45593</v>
      </c>
      <c r="U87" s="9">
        <v>45607</v>
      </c>
      <c r="V87" s="9">
        <v>45617</v>
      </c>
      <c r="W87" t="s">
        <v>69</v>
      </c>
      <c r="X87" t="s">
        <v>68</v>
      </c>
    </row>
    <row r="88" spans="1:24" x14ac:dyDescent="0.3">
      <c r="A88" t="s">
        <v>328</v>
      </c>
      <c r="B88" t="s">
        <v>329</v>
      </c>
      <c r="C88" t="s">
        <v>321</v>
      </c>
      <c r="D88" t="s">
        <v>322</v>
      </c>
      <c r="E88" t="s">
        <v>271</v>
      </c>
      <c r="F88" t="s">
        <v>243</v>
      </c>
      <c r="G88" t="s">
        <v>109</v>
      </c>
      <c r="H88" t="s">
        <v>282</v>
      </c>
      <c r="I88" t="s">
        <v>6</v>
      </c>
      <c r="J88" t="s">
        <v>5</v>
      </c>
      <c r="K88" t="s">
        <v>24</v>
      </c>
      <c r="L88" t="s">
        <v>23</v>
      </c>
      <c r="M88">
        <v>80</v>
      </c>
      <c r="N88" t="s">
        <v>2</v>
      </c>
      <c r="O88">
        <v>12099</v>
      </c>
      <c r="P88" t="s">
        <v>1</v>
      </c>
      <c r="Q88">
        <v>15</v>
      </c>
      <c r="R88">
        <v>16</v>
      </c>
      <c r="S88"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88" s="9">
        <v>45607</v>
      </c>
      <c r="U88" s="9">
        <v>45622</v>
      </c>
      <c r="V88" s="9">
        <v>45623</v>
      </c>
      <c r="W88" t="s">
        <v>69</v>
      </c>
      <c r="X88" t="s">
        <v>68</v>
      </c>
    </row>
    <row r="89" spans="1:24" x14ac:dyDescent="0.3">
      <c r="A89" t="s">
        <v>328</v>
      </c>
      <c r="B89" t="s">
        <v>329</v>
      </c>
      <c r="C89" t="s">
        <v>321</v>
      </c>
      <c r="D89" t="s">
        <v>322</v>
      </c>
      <c r="E89" t="s">
        <v>32</v>
      </c>
      <c r="F89" t="s">
        <v>247</v>
      </c>
      <c r="G89" t="s">
        <v>73</v>
      </c>
      <c r="H89" t="s">
        <v>315</v>
      </c>
      <c r="I89" t="s">
        <v>32</v>
      </c>
      <c r="J89" t="s">
        <v>209</v>
      </c>
      <c r="K89" t="s">
        <v>72</v>
      </c>
      <c r="L89" t="s">
        <v>71</v>
      </c>
      <c r="N89" t="s">
        <v>10</v>
      </c>
      <c r="O89">
        <v>15872</v>
      </c>
      <c r="P89" t="s">
        <v>1</v>
      </c>
      <c r="Q89">
        <v>25</v>
      </c>
      <c r="R89">
        <v>6</v>
      </c>
      <c r="S89"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89" s="9">
        <v>45604</v>
      </c>
      <c r="U89" s="9">
        <v>45629</v>
      </c>
      <c r="V89" s="9">
        <v>45610</v>
      </c>
      <c r="W89" t="s">
        <v>69</v>
      </c>
      <c r="X89" t="s">
        <v>68</v>
      </c>
    </row>
    <row r="90" spans="1:24" x14ac:dyDescent="0.3">
      <c r="A90" t="s">
        <v>328</v>
      </c>
      <c r="B90" t="s">
        <v>329</v>
      </c>
      <c r="C90" t="s">
        <v>321</v>
      </c>
      <c r="D90" t="s">
        <v>322</v>
      </c>
      <c r="E90" t="s">
        <v>107</v>
      </c>
      <c r="F90" t="s">
        <v>243</v>
      </c>
      <c r="G90" t="s">
        <v>103</v>
      </c>
      <c r="H90" t="s">
        <v>282</v>
      </c>
      <c r="I90" t="s">
        <v>107</v>
      </c>
      <c r="J90" t="s">
        <v>5</v>
      </c>
      <c r="K90" t="s">
        <v>52</v>
      </c>
      <c r="L90" t="s">
        <v>51</v>
      </c>
      <c r="M90">
        <v>120</v>
      </c>
      <c r="N90" t="s">
        <v>2</v>
      </c>
      <c r="O90">
        <v>4520</v>
      </c>
      <c r="P90" t="s">
        <v>27</v>
      </c>
      <c r="Q90">
        <v>12</v>
      </c>
      <c r="R90">
        <v>11</v>
      </c>
      <c r="S90"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90" s="9">
        <v>45606</v>
      </c>
      <c r="U90" s="9">
        <v>45618</v>
      </c>
      <c r="V90" s="9">
        <v>45617</v>
      </c>
      <c r="W90" t="s">
        <v>69</v>
      </c>
      <c r="X90" t="s">
        <v>68</v>
      </c>
    </row>
    <row r="91" spans="1:24" x14ac:dyDescent="0.3">
      <c r="A91" t="s">
        <v>328</v>
      </c>
      <c r="B91" t="s">
        <v>329</v>
      </c>
      <c r="C91" t="s">
        <v>321</v>
      </c>
      <c r="D91" t="s">
        <v>322</v>
      </c>
      <c r="E91" t="s">
        <v>37</v>
      </c>
      <c r="F91" t="s">
        <v>247</v>
      </c>
      <c r="G91" t="s">
        <v>83</v>
      </c>
      <c r="H91" t="s">
        <v>287</v>
      </c>
      <c r="I91" t="s">
        <v>35</v>
      </c>
      <c r="J91" t="s">
        <v>5</v>
      </c>
      <c r="K91" t="s">
        <v>24</v>
      </c>
      <c r="L91" t="s">
        <v>31</v>
      </c>
      <c r="M91">
        <v>90</v>
      </c>
      <c r="N91" t="s">
        <v>15</v>
      </c>
      <c r="O91">
        <v>5766</v>
      </c>
      <c r="P91" t="s">
        <v>27</v>
      </c>
      <c r="Q91">
        <v>14</v>
      </c>
      <c r="R91">
        <v>13</v>
      </c>
      <c r="S91"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91" s="9">
        <v>45608</v>
      </c>
      <c r="U91" s="9">
        <v>45622</v>
      </c>
      <c r="V91" s="9">
        <v>45621</v>
      </c>
      <c r="W91" t="s">
        <v>69</v>
      </c>
      <c r="X91" t="s">
        <v>68</v>
      </c>
    </row>
    <row r="92" spans="1:24" x14ac:dyDescent="0.3">
      <c r="A92" t="s">
        <v>328</v>
      </c>
      <c r="B92" t="s">
        <v>329</v>
      </c>
      <c r="C92" t="s">
        <v>321</v>
      </c>
      <c r="D92" t="s">
        <v>322</v>
      </c>
      <c r="E92" t="s">
        <v>106</v>
      </c>
      <c r="F92" t="s">
        <v>243</v>
      </c>
      <c r="G92" t="s">
        <v>58</v>
      </c>
      <c r="H92" t="s">
        <v>282</v>
      </c>
      <c r="I92" t="s">
        <v>6</v>
      </c>
      <c r="J92" t="s">
        <v>5</v>
      </c>
      <c r="K92" t="s">
        <v>52</v>
      </c>
      <c r="L92" t="s">
        <v>51</v>
      </c>
      <c r="M92">
        <v>160</v>
      </c>
      <c r="N92" t="s">
        <v>105</v>
      </c>
      <c r="O92">
        <v>11395</v>
      </c>
      <c r="P92" t="s">
        <v>1</v>
      </c>
      <c r="Q92">
        <v>12</v>
      </c>
      <c r="R92">
        <v>15</v>
      </c>
      <c r="S92"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92" s="9">
        <v>45608</v>
      </c>
      <c r="U92" s="9">
        <v>45620</v>
      </c>
      <c r="V92" s="9">
        <v>45623</v>
      </c>
      <c r="W92" t="s">
        <v>69</v>
      </c>
      <c r="X92" t="s">
        <v>68</v>
      </c>
    </row>
    <row r="93" spans="1:24" x14ac:dyDescent="0.3">
      <c r="A93" t="s">
        <v>328</v>
      </c>
      <c r="B93" t="s">
        <v>329</v>
      </c>
      <c r="C93" t="s">
        <v>321</v>
      </c>
      <c r="D93" t="s">
        <v>322</v>
      </c>
      <c r="E93" t="s">
        <v>104</v>
      </c>
      <c r="F93" t="s">
        <v>243</v>
      </c>
      <c r="G93" t="s">
        <v>103</v>
      </c>
      <c r="H93" t="s">
        <v>282</v>
      </c>
      <c r="I93" t="s">
        <v>6</v>
      </c>
      <c r="J93" t="s">
        <v>5</v>
      </c>
      <c r="K93" t="s">
        <v>24</v>
      </c>
      <c r="L93" t="s">
        <v>102</v>
      </c>
      <c r="M93">
        <v>80</v>
      </c>
      <c r="N93" t="s">
        <v>2</v>
      </c>
      <c r="O93">
        <v>12919</v>
      </c>
      <c r="P93" t="s">
        <v>1</v>
      </c>
      <c r="Q93">
        <v>16</v>
      </c>
      <c r="R93">
        <v>13</v>
      </c>
      <c r="S93"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93" s="9">
        <v>45610</v>
      </c>
      <c r="U93" s="9">
        <v>45626</v>
      </c>
      <c r="V93" s="9">
        <v>45623</v>
      </c>
      <c r="W93" t="s">
        <v>69</v>
      </c>
      <c r="X93" t="s">
        <v>68</v>
      </c>
    </row>
    <row r="94" spans="1:24" x14ac:dyDescent="0.3">
      <c r="A94" t="s">
        <v>328</v>
      </c>
      <c r="B94" t="s">
        <v>329</v>
      </c>
      <c r="C94" t="s">
        <v>321</v>
      </c>
      <c r="D94" t="s">
        <v>322</v>
      </c>
      <c r="E94" t="s">
        <v>37</v>
      </c>
      <c r="F94" t="s">
        <v>247</v>
      </c>
      <c r="G94" t="s">
        <v>83</v>
      </c>
      <c r="H94" t="s">
        <v>287</v>
      </c>
      <c r="I94" t="s">
        <v>35</v>
      </c>
      <c r="J94" t="s">
        <v>74</v>
      </c>
      <c r="K94" t="s">
        <v>24</v>
      </c>
      <c r="L94" t="s">
        <v>3</v>
      </c>
      <c r="M94">
        <v>120</v>
      </c>
      <c r="N94" t="s">
        <v>45</v>
      </c>
      <c r="O94">
        <v>6376</v>
      </c>
      <c r="P94" t="s">
        <v>27</v>
      </c>
      <c r="Q94">
        <v>13</v>
      </c>
      <c r="R94">
        <v>11</v>
      </c>
      <c r="S94"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94" s="9">
        <v>45610</v>
      </c>
      <c r="U94" s="9">
        <v>45623</v>
      </c>
      <c r="V94" s="9">
        <v>45621</v>
      </c>
      <c r="W94" t="s">
        <v>69</v>
      </c>
      <c r="X94" t="s">
        <v>68</v>
      </c>
    </row>
    <row r="95" spans="1:24" x14ac:dyDescent="0.3">
      <c r="A95" t="s">
        <v>328</v>
      </c>
      <c r="B95" t="s">
        <v>329</v>
      </c>
      <c r="C95" t="s">
        <v>321</v>
      </c>
      <c r="D95" t="s">
        <v>322</v>
      </c>
      <c r="E95" t="s">
        <v>37</v>
      </c>
      <c r="F95" t="s">
        <v>247</v>
      </c>
      <c r="G95" t="s">
        <v>101</v>
      </c>
      <c r="H95" t="s">
        <v>315</v>
      </c>
      <c r="I95" t="s">
        <v>35</v>
      </c>
      <c r="J95" t="s">
        <v>5</v>
      </c>
      <c r="K95" t="s">
        <v>4</v>
      </c>
      <c r="L95" t="s">
        <v>3</v>
      </c>
      <c r="M95">
        <v>90</v>
      </c>
      <c r="N95" t="s">
        <v>15</v>
      </c>
      <c r="O95">
        <v>5294</v>
      </c>
      <c r="P95" t="s">
        <v>27</v>
      </c>
      <c r="Q95">
        <v>13</v>
      </c>
      <c r="R95">
        <v>11</v>
      </c>
      <c r="S95"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95" s="9">
        <v>45610</v>
      </c>
      <c r="U95" s="9">
        <v>45623</v>
      </c>
      <c r="V95" s="9">
        <v>45621</v>
      </c>
      <c r="W95" t="s">
        <v>69</v>
      </c>
      <c r="X95" t="s">
        <v>68</v>
      </c>
    </row>
    <row r="96" spans="1:24" x14ac:dyDescent="0.3">
      <c r="A96" t="s">
        <v>328</v>
      </c>
      <c r="B96" t="s">
        <v>329</v>
      </c>
      <c r="C96" t="s">
        <v>321</v>
      </c>
      <c r="D96" t="s">
        <v>322</v>
      </c>
      <c r="E96" t="s">
        <v>272</v>
      </c>
      <c r="F96" t="s">
        <v>243</v>
      </c>
      <c r="G96" t="s">
        <v>64</v>
      </c>
      <c r="H96" t="s">
        <v>283</v>
      </c>
      <c r="I96" t="s">
        <v>100</v>
      </c>
      <c r="J96" t="s">
        <v>74</v>
      </c>
      <c r="K96" t="s">
        <v>4</v>
      </c>
      <c r="L96" t="s">
        <v>82</v>
      </c>
      <c r="M96">
        <v>80</v>
      </c>
      <c r="N96" t="s">
        <v>2</v>
      </c>
      <c r="O96">
        <v>7396</v>
      </c>
      <c r="P96" t="s">
        <v>1</v>
      </c>
      <c r="Q96">
        <v>11</v>
      </c>
      <c r="R96">
        <v>9</v>
      </c>
      <c r="S96"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96" s="9">
        <v>45613</v>
      </c>
      <c r="U96" s="9">
        <v>45624</v>
      </c>
      <c r="V96" s="9">
        <v>45622</v>
      </c>
      <c r="W96" t="s">
        <v>69</v>
      </c>
      <c r="X96" t="s">
        <v>68</v>
      </c>
    </row>
    <row r="97" spans="1:24" x14ac:dyDescent="0.3">
      <c r="A97" t="s">
        <v>328</v>
      </c>
      <c r="B97" t="s">
        <v>329</v>
      </c>
      <c r="C97" t="s">
        <v>321</v>
      </c>
      <c r="D97" t="s">
        <v>322</v>
      </c>
      <c r="E97" t="s">
        <v>99</v>
      </c>
      <c r="F97" t="s">
        <v>243</v>
      </c>
      <c r="G97" t="s">
        <v>75</v>
      </c>
      <c r="H97" t="s">
        <v>283</v>
      </c>
      <c r="I97" t="s">
        <v>6</v>
      </c>
      <c r="J97" t="s">
        <v>5</v>
      </c>
      <c r="K97" t="s">
        <v>24</v>
      </c>
      <c r="L97" t="s">
        <v>31</v>
      </c>
      <c r="M97">
        <v>90</v>
      </c>
      <c r="N97" t="s">
        <v>15</v>
      </c>
      <c r="O97">
        <v>13439</v>
      </c>
      <c r="P97" t="s">
        <v>295</v>
      </c>
      <c r="Q97">
        <v>15</v>
      </c>
      <c r="R97">
        <v>6</v>
      </c>
      <c r="S97"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97" s="9">
        <v>45616</v>
      </c>
      <c r="U97" s="9">
        <v>45631</v>
      </c>
      <c r="V97" s="9">
        <v>45622</v>
      </c>
      <c r="W97" t="s">
        <v>69</v>
      </c>
      <c r="X97" t="s">
        <v>68</v>
      </c>
    </row>
    <row r="98" spans="1:24" x14ac:dyDescent="0.3">
      <c r="A98" t="s">
        <v>328</v>
      </c>
      <c r="B98" t="s">
        <v>329</v>
      </c>
      <c r="C98" t="s">
        <v>321</v>
      </c>
      <c r="D98" t="s">
        <v>322</v>
      </c>
      <c r="E98" t="s">
        <v>98</v>
      </c>
      <c r="F98" t="s">
        <v>243</v>
      </c>
      <c r="G98" t="s">
        <v>97</v>
      </c>
      <c r="H98" t="s">
        <v>282</v>
      </c>
      <c r="I98" t="s">
        <v>96</v>
      </c>
      <c r="J98" t="s">
        <v>74</v>
      </c>
      <c r="K98" t="s">
        <v>52</v>
      </c>
      <c r="L98" t="s">
        <v>95</v>
      </c>
      <c r="M98">
        <v>160</v>
      </c>
      <c r="N98" t="s">
        <v>94</v>
      </c>
      <c r="O98">
        <v>6000</v>
      </c>
      <c r="P98" t="s">
        <v>295</v>
      </c>
      <c r="Q98">
        <v>10</v>
      </c>
      <c r="R98">
        <v>5</v>
      </c>
      <c r="S98"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98" s="9">
        <v>45618</v>
      </c>
      <c r="U98" s="9">
        <v>45628</v>
      </c>
      <c r="V98" s="9">
        <v>45623</v>
      </c>
      <c r="W98" t="s">
        <v>69</v>
      </c>
      <c r="X98" t="s">
        <v>68</v>
      </c>
    </row>
    <row r="99" spans="1:24" x14ac:dyDescent="0.3">
      <c r="A99" t="s">
        <v>328</v>
      </c>
      <c r="B99" t="s">
        <v>329</v>
      </c>
      <c r="C99" t="s">
        <v>321</v>
      </c>
      <c r="D99" t="s">
        <v>322</v>
      </c>
      <c r="E99" t="s">
        <v>273</v>
      </c>
      <c r="F99" t="s">
        <v>243</v>
      </c>
      <c r="G99" t="s">
        <v>93</v>
      </c>
      <c r="H99" t="s">
        <v>282</v>
      </c>
      <c r="I99" t="s">
        <v>6</v>
      </c>
      <c r="J99" t="s">
        <v>5</v>
      </c>
      <c r="K99" t="s">
        <v>29</v>
      </c>
      <c r="L99" t="s">
        <v>92</v>
      </c>
      <c r="M99">
        <v>120</v>
      </c>
      <c r="N99" t="s">
        <v>45</v>
      </c>
      <c r="O99">
        <v>10885</v>
      </c>
      <c r="P99" t="s">
        <v>295</v>
      </c>
      <c r="Q99">
        <v>11</v>
      </c>
      <c r="R99">
        <v>16</v>
      </c>
      <c r="S99"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99" s="9">
        <v>45620</v>
      </c>
      <c r="U99" s="9">
        <v>45631</v>
      </c>
      <c r="V99" s="9">
        <v>45636</v>
      </c>
      <c r="W99" t="s">
        <v>69</v>
      </c>
      <c r="X99" t="s">
        <v>68</v>
      </c>
    </row>
    <row r="100" spans="1:24" x14ac:dyDescent="0.3">
      <c r="A100" t="s">
        <v>328</v>
      </c>
      <c r="B100" t="s">
        <v>329</v>
      </c>
      <c r="C100" t="s">
        <v>321</v>
      </c>
      <c r="D100" t="s">
        <v>322</v>
      </c>
      <c r="E100" t="s">
        <v>249</v>
      </c>
      <c r="F100" t="s">
        <v>247</v>
      </c>
      <c r="G100" t="s">
        <v>30</v>
      </c>
      <c r="H100" t="s">
        <v>282</v>
      </c>
      <c r="I100" t="s">
        <v>91</v>
      </c>
      <c r="J100" t="s">
        <v>209</v>
      </c>
      <c r="K100" t="s">
        <v>90</v>
      </c>
      <c r="L100" t="s">
        <v>90</v>
      </c>
      <c r="O100">
        <v>6000</v>
      </c>
      <c r="P100" t="s">
        <v>295</v>
      </c>
      <c r="Q100">
        <v>16</v>
      </c>
      <c r="R100">
        <v>1</v>
      </c>
      <c r="S100"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100" s="9">
        <v>45615</v>
      </c>
      <c r="U100" s="9">
        <v>45631</v>
      </c>
      <c r="V100" s="9">
        <v>45616</v>
      </c>
      <c r="W100" t="s">
        <v>89</v>
      </c>
      <c r="X100" t="s">
        <v>68</v>
      </c>
    </row>
    <row r="101" spans="1:24" x14ac:dyDescent="0.3">
      <c r="A101" t="s">
        <v>328</v>
      </c>
      <c r="B101" t="s">
        <v>329</v>
      </c>
      <c r="C101" t="s">
        <v>321</v>
      </c>
      <c r="D101" t="s">
        <v>322</v>
      </c>
      <c r="E101" t="s">
        <v>88</v>
      </c>
      <c r="F101" t="s">
        <v>243</v>
      </c>
      <c r="G101" t="s">
        <v>87</v>
      </c>
      <c r="H101" t="s">
        <v>284</v>
      </c>
      <c r="I101" t="s">
        <v>6</v>
      </c>
      <c r="J101" t="s">
        <v>41</v>
      </c>
      <c r="L101" t="s">
        <v>86</v>
      </c>
      <c r="O101">
        <v>8449</v>
      </c>
      <c r="P101" t="s">
        <v>1</v>
      </c>
      <c r="Q101">
        <v>13</v>
      </c>
      <c r="R101">
        <v>26</v>
      </c>
      <c r="S101"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101" s="9">
        <v>45623</v>
      </c>
      <c r="U101" s="9">
        <v>45636</v>
      </c>
      <c r="V101" s="9">
        <v>45649</v>
      </c>
      <c r="W101" t="s">
        <v>294</v>
      </c>
      <c r="X101" t="s">
        <v>68</v>
      </c>
    </row>
    <row r="102" spans="1:24" x14ac:dyDescent="0.3">
      <c r="A102" t="s">
        <v>328</v>
      </c>
      <c r="B102" t="s">
        <v>329</v>
      </c>
      <c r="C102" t="s">
        <v>321</v>
      </c>
      <c r="D102" t="s">
        <v>322</v>
      </c>
      <c r="E102" t="s">
        <v>85</v>
      </c>
      <c r="F102" t="s">
        <v>243</v>
      </c>
      <c r="G102" t="s">
        <v>61</v>
      </c>
      <c r="H102" t="s">
        <v>282</v>
      </c>
      <c r="I102" t="s">
        <v>6</v>
      </c>
      <c r="J102" t="s">
        <v>41</v>
      </c>
      <c r="K102" t="s">
        <v>21</v>
      </c>
      <c r="L102" t="s">
        <v>20</v>
      </c>
      <c r="N102" t="s">
        <v>2</v>
      </c>
      <c r="O102">
        <v>10249</v>
      </c>
      <c r="P102" t="s">
        <v>295</v>
      </c>
      <c r="Q102">
        <v>13</v>
      </c>
      <c r="R102">
        <v>22</v>
      </c>
      <c r="S102"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102" s="9">
        <v>45623</v>
      </c>
      <c r="U102" s="9">
        <v>45636</v>
      </c>
      <c r="V102" s="9">
        <v>45645</v>
      </c>
      <c r="W102" t="s">
        <v>69</v>
      </c>
      <c r="X102" t="s">
        <v>68</v>
      </c>
    </row>
    <row r="103" spans="1:24" x14ac:dyDescent="0.3">
      <c r="A103" t="s">
        <v>328</v>
      </c>
      <c r="B103" t="s">
        <v>329</v>
      </c>
      <c r="C103" t="s">
        <v>321</v>
      </c>
      <c r="D103" t="s">
        <v>322</v>
      </c>
      <c r="E103" t="s">
        <v>37</v>
      </c>
      <c r="F103" t="s">
        <v>247</v>
      </c>
      <c r="G103" t="s">
        <v>83</v>
      </c>
      <c r="H103" t="s">
        <v>287</v>
      </c>
      <c r="I103" t="s">
        <v>35</v>
      </c>
      <c r="J103" t="s">
        <v>5</v>
      </c>
      <c r="K103" t="s">
        <v>4</v>
      </c>
      <c r="L103" t="s">
        <v>82</v>
      </c>
      <c r="M103">
        <v>90</v>
      </c>
      <c r="N103" t="s">
        <v>81</v>
      </c>
      <c r="O103">
        <v>5217</v>
      </c>
      <c r="P103" t="s">
        <v>27</v>
      </c>
      <c r="Q103">
        <v>13</v>
      </c>
      <c r="R103">
        <v>9</v>
      </c>
      <c r="S103"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103" s="9">
        <v>45627</v>
      </c>
      <c r="U103" s="9">
        <v>45640</v>
      </c>
      <c r="V103" s="9">
        <v>45636</v>
      </c>
      <c r="W103" t="s">
        <v>69</v>
      </c>
      <c r="X103" t="s">
        <v>68</v>
      </c>
    </row>
    <row r="104" spans="1:24" x14ac:dyDescent="0.3">
      <c r="A104" t="s">
        <v>328</v>
      </c>
      <c r="B104" t="s">
        <v>329</v>
      </c>
      <c r="C104" t="s">
        <v>321</v>
      </c>
      <c r="D104" t="s">
        <v>322</v>
      </c>
      <c r="E104" t="s">
        <v>274</v>
      </c>
      <c r="F104" t="s">
        <v>243</v>
      </c>
      <c r="G104" t="s">
        <v>80</v>
      </c>
      <c r="H104" t="s">
        <v>287</v>
      </c>
      <c r="I104" t="s">
        <v>6</v>
      </c>
      <c r="J104" t="s">
        <v>74</v>
      </c>
      <c r="K104" t="s">
        <v>38</v>
      </c>
      <c r="N104" t="s">
        <v>15</v>
      </c>
      <c r="O104">
        <v>10249</v>
      </c>
      <c r="P104" t="s">
        <v>295</v>
      </c>
      <c r="Q104">
        <v>10</v>
      </c>
      <c r="R104">
        <v>15</v>
      </c>
      <c r="S104"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104" s="9">
        <v>45630</v>
      </c>
      <c r="U104" s="9">
        <v>45640</v>
      </c>
      <c r="V104" s="9">
        <v>45645</v>
      </c>
      <c r="W104" t="s">
        <v>69</v>
      </c>
      <c r="X104" t="s">
        <v>68</v>
      </c>
    </row>
    <row r="105" spans="1:24" x14ac:dyDescent="0.3">
      <c r="A105" t="s">
        <v>328</v>
      </c>
      <c r="B105" t="s">
        <v>329</v>
      </c>
      <c r="C105" t="s">
        <v>321</v>
      </c>
      <c r="D105" t="s">
        <v>322</v>
      </c>
      <c r="E105" t="s">
        <v>79</v>
      </c>
      <c r="F105" t="s">
        <v>243</v>
      </c>
      <c r="G105" t="s">
        <v>78</v>
      </c>
      <c r="H105" t="s">
        <v>282</v>
      </c>
      <c r="I105" t="s">
        <v>32</v>
      </c>
      <c r="J105" t="s">
        <v>5</v>
      </c>
      <c r="K105" t="s">
        <v>24</v>
      </c>
      <c r="L105" t="s">
        <v>31</v>
      </c>
      <c r="N105" t="s">
        <v>15</v>
      </c>
      <c r="O105">
        <v>10445</v>
      </c>
      <c r="P105" t="s">
        <v>295</v>
      </c>
      <c r="Q105">
        <v>22</v>
      </c>
      <c r="R105">
        <v>3</v>
      </c>
      <c r="S105"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105" s="9">
        <v>45635</v>
      </c>
      <c r="U105" s="9">
        <v>45657</v>
      </c>
      <c r="V105" s="9">
        <v>45638</v>
      </c>
      <c r="W105" t="s">
        <v>69</v>
      </c>
      <c r="X105" t="s">
        <v>68</v>
      </c>
    </row>
    <row r="106" spans="1:24" x14ac:dyDescent="0.3">
      <c r="A106" t="s">
        <v>328</v>
      </c>
      <c r="B106" t="s">
        <v>329</v>
      </c>
      <c r="C106" t="s">
        <v>321</v>
      </c>
      <c r="D106" t="s">
        <v>322</v>
      </c>
      <c r="E106" t="s">
        <v>275</v>
      </c>
      <c r="F106" t="s">
        <v>243</v>
      </c>
      <c r="G106" t="s">
        <v>17</v>
      </c>
      <c r="H106" t="s">
        <v>282</v>
      </c>
      <c r="I106" t="s">
        <v>6</v>
      </c>
      <c r="J106" t="s">
        <v>41</v>
      </c>
      <c r="K106" t="s">
        <v>77</v>
      </c>
      <c r="L106" t="s">
        <v>20</v>
      </c>
      <c r="N106" t="s">
        <v>10</v>
      </c>
      <c r="O106">
        <v>11199</v>
      </c>
      <c r="P106" t="s">
        <v>295</v>
      </c>
      <c r="Q106">
        <v>12</v>
      </c>
      <c r="R106">
        <v>7</v>
      </c>
      <c r="S106"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106" s="9">
        <v>45638</v>
      </c>
      <c r="U106" s="9">
        <v>45650</v>
      </c>
      <c r="V106" s="9">
        <v>45645</v>
      </c>
      <c r="W106" t="s">
        <v>69</v>
      </c>
      <c r="X106" t="s">
        <v>68</v>
      </c>
    </row>
    <row r="107" spans="1:24" x14ac:dyDescent="0.3">
      <c r="A107" t="s">
        <v>328</v>
      </c>
      <c r="B107" t="s">
        <v>329</v>
      </c>
      <c r="C107" t="s">
        <v>321</v>
      </c>
      <c r="D107" t="s">
        <v>322</v>
      </c>
      <c r="E107" t="s">
        <v>76</v>
      </c>
      <c r="F107" t="s">
        <v>243</v>
      </c>
      <c r="G107" t="s">
        <v>75</v>
      </c>
      <c r="H107" t="s">
        <v>283</v>
      </c>
      <c r="I107" t="s">
        <v>6</v>
      </c>
      <c r="J107" t="s">
        <v>74</v>
      </c>
      <c r="K107" t="s">
        <v>24</v>
      </c>
      <c r="L107" t="s">
        <v>3</v>
      </c>
      <c r="M107">
        <v>80</v>
      </c>
      <c r="N107" t="s">
        <v>15</v>
      </c>
      <c r="O107">
        <v>13099</v>
      </c>
      <c r="P107" t="s">
        <v>295</v>
      </c>
      <c r="Q107">
        <v>16</v>
      </c>
      <c r="R107">
        <v>17</v>
      </c>
      <c r="S107" t="str">
        <f>IF(OR(misuo__3[[#This Row],[معاد التسليم الهدف]]=0,misuo__3[[#This Row],[معاد التسليم الفعلي]]=0 ), "فراغ قيم", IF(misuo__3[[#This Row],[معاد التسليم الفعلي]]&lt;=misuo__3[[#This Row],[معاد التسليم الهدف]], "في الموعد", "متأخر"))</f>
        <v>متأخر</v>
      </c>
      <c r="T107" s="9">
        <v>45638</v>
      </c>
      <c r="U107" s="9">
        <v>45654</v>
      </c>
      <c r="V107" s="9">
        <v>45655</v>
      </c>
      <c r="W107" t="s">
        <v>69</v>
      </c>
      <c r="X107" t="s">
        <v>68</v>
      </c>
    </row>
    <row r="108" spans="1:24" x14ac:dyDescent="0.3">
      <c r="A108" t="s">
        <v>328</v>
      </c>
      <c r="B108" t="s">
        <v>329</v>
      </c>
      <c r="C108" t="s">
        <v>321</v>
      </c>
      <c r="D108" t="s">
        <v>322</v>
      </c>
      <c r="E108" t="s">
        <v>32</v>
      </c>
      <c r="F108" t="s">
        <v>247</v>
      </c>
      <c r="G108" t="s">
        <v>73</v>
      </c>
      <c r="H108" t="s">
        <v>315</v>
      </c>
      <c r="I108" t="s">
        <v>32</v>
      </c>
      <c r="J108" t="s">
        <v>209</v>
      </c>
      <c r="K108" t="s">
        <v>72</v>
      </c>
      <c r="L108" t="s">
        <v>71</v>
      </c>
      <c r="N108" t="s">
        <v>10</v>
      </c>
      <c r="O108">
        <v>8700</v>
      </c>
      <c r="P108" t="s">
        <v>27</v>
      </c>
      <c r="Q108">
        <v>22</v>
      </c>
      <c r="R108">
        <v>15</v>
      </c>
      <c r="S108" t="str">
        <f>IF(OR(misuo__3[[#This Row],[معاد التسليم الهدف]]=0,misuo__3[[#This Row],[معاد التسليم الفعلي]]=0 ), "فراغ قيم", IF(misuo__3[[#This Row],[معاد التسليم الفعلي]]&lt;=misuo__3[[#This Row],[معاد التسليم الهدف]], "في الموعد", "متأخر"))</f>
        <v>في الموعد</v>
      </c>
      <c r="T108" s="9">
        <v>45640</v>
      </c>
      <c r="U108" s="9">
        <v>45662</v>
      </c>
      <c r="V108" s="9">
        <v>45655</v>
      </c>
      <c r="W108" t="s">
        <v>69</v>
      </c>
      <c r="X108" t="s">
        <v>68</v>
      </c>
    </row>
    <row r="109" spans="1:24" x14ac:dyDescent="0.3">
      <c r="A109" t="s">
        <v>65</v>
      </c>
      <c r="B109" t="s">
        <v>47</v>
      </c>
      <c r="C109" t="s">
        <v>321</v>
      </c>
      <c r="D109" t="s">
        <v>322</v>
      </c>
      <c r="E109" t="s">
        <v>249</v>
      </c>
      <c r="F109" t="s">
        <v>247</v>
      </c>
      <c r="G109" t="s">
        <v>67</v>
      </c>
      <c r="H109" t="s">
        <v>282</v>
      </c>
      <c r="I109" t="s">
        <v>91</v>
      </c>
      <c r="J109" t="s">
        <v>209</v>
      </c>
      <c r="K109" t="s">
        <v>66</v>
      </c>
      <c r="O109">
        <v>16000</v>
      </c>
      <c r="P109" t="s">
        <v>295</v>
      </c>
      <c r="Q109">
        <v>0</v>
      </c>
      <c r="R109">
        <v>0</v>
      </c>
      <c r="S109"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W109" t="s">
        <v>219</v>
      </c>
      <c r="X109" t="s">
        <v>0</v>
      </c>
    </row>
    <row r="110" spans="1:24" x14ac:dyDescent="0.3">
      <c r="A110" t="s">
        <v>63</v>
      </c>
      <c r="B110" t="s">
        <v>5</v>
      </c>
      <c r="C110" t="s">
        <v>321</v>
      </c>
      <c r="D110" t="s">
        <v>324</v>
      </c>
      <c r="E110" t="s">
        <v>276</v>
      </c>
      <c r="F110" t="s">
        <v>243</v>
      </c>
      <c r="G110" t="s">
        <v>64</v>
      </c>
      <c r="H110" t="s">
        <v>283</v>
      </c>
      <c r="I110" t="s">
        <v>6</v>
      </c>
      <c r="J110" t="s">
        <v>5</v>
      </c>
      <c r="K110" t="s">
        <v>52</v>
      </c>
      <c r="L110" t="s">
        <v>3</v>
      </c>
      <c r="M110">
        <v>80</v>
      </c>
      <c r="N110" t="s">
        <v>2</v>
      </c>
      <c r="O110">
        <v>7295</v>
      </c>
      <c r="P110" t="s">
        <v>295</v>
      </c>
      <c r="Q110">
        <v>9</v>
      </c>
      <c r="R110">
        <v>0</v>
      </c>
      <c r="S110"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10" s="9">
        <v>45540</v>
      </c>
      <c r="U110" s="9">
        <v>45549</v>
      </c>
      <c r="X110" t="s">
        <v>0</v>
      </c>
    </row>
    <row r="111" spans="1:24" x14ac:dyDescent="0.3">
      <c r="A111" t="s">
        <v>60</v>
      </c>
      <c r="B111" t="s">
        <v>5</v>
      </c>
      <c r="C111" t="s">
        <v>31</v>
      </c>
      <c r="D111" t="s">
        <v>324</v>
      </c>
      <c r="E111" t="s">
        <v>62</v>
      </c>
      <c r="F111" t="s">
        <v>243</v>
      </c>
      <c r="G111" t="s">
        <v>61</v>
      </c>
      <c r="H111" t="s">
        <v>282</v>
      </c>
      <c r="I111" t="s">
        <v>6</v>
      </c>
      <c r="J111" t="s">
        <v>5</v>
      </c>
      <c r="K111" t="s">
        <v>24</v>
      </c>
      <c r="L111" t="s">
        <v>31</v>
      </c>
      <c r="M111">
        <v>80</v>
      </c>
      <c r="N111" t="s">
        <v>2</v>
      </c>
      <c r="O111">
        <v>11199</v>
      </c>
      <c r="P111" t="s">
        <v>295</v>
      </c>
      <c r="Q111">
        <v>14</v>
      </c>
      <c r="R111">
        <v>0</v>
      </c>
      <c r="S111"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11" s="9">
        <v>45539</v>
      </c>
      <c r="U111" s="9">
        <v>45553</v>
      </c>
      <c r="X111" t="s">
        <v>0</v>
      </c>
    </row>
    <row r="112" spans="1:24" x14ac:dyDescent="0.3">
      <c r="A112" t="s">
        <v>56</v>
      </c>
      <c r="B112" t="s">
        <v>320</v>
      </c>
      <c r="C112" t="s">
        <v>321</v>
      </c>
      <c r="D112" t="s">
        <v>322</v>
      </c>
      <c r="E112" t="s">
        <v>59</v>
      </c>
      <c r="F112" t="s">
        <v>243</v>
      </c>
      <c r="G112" t="s">
        <v>58</v>
      </c>
      <c r="H112" t="s">
        <v>282</v>
      </c>
      <c r="I112" t="s">
        <v>6</v>
      </c>
      <c r="J112" t="s">
        <v>41</v>
      </c>
      <c r="K112" t="s">
        <v>57</v>
      </c>
      <c r="O112">
        <v>8849</v>
      </c>
      <c r="P112" t="s">
        <v>1</v>
      </c>
      <c r="Q112">
        <v>43</v>
      </c>
      <c r="R112">
        <v>0</v>
      </c>
      <c r="S112"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12" s="9">
        <v>45538</v>
      </c>
      <c r="U112" s="9">
        <v>45581</v>
      </c>
      <c r="X112" t="s">
        <v>0</v>
      </c>
    </row>
    <row r="113" spans="1:24" x14ac:dyDescent="0.3">
      <c r="A113" t="s">
        <v>54</v>
      </c>
      <c r="B113" t="s">
        <v>5</v>
      </c>
      <c r="C113" t="s">
        <v>3</v>
      </c>
      <c r="D113" t="s">
        <v>323</v>
      </c>
      <c r="E113" t="s">
        <v>277</v>
      </c>
      <c r="F113" t="s">
        <v>243</v>
      </c>
      <c r="G113" t="s">
        <v>55</v>
      </c>
      <c r="H113" t="s">
        <v>282</v>
      </c>
      <c r="I113" t="s">
        <v>6</v>
      </c>
      <c r="J113" t="s">
        <v>5</v>
      </c>
      <c r="K113" t="s">
        <v>24</v>
      </c>
      <c r="L113" t="s">
        <v>3</v>
      </c>
      <c r="M113">
        <v>90</v>
      </c>
      <c r="N113" t="s">
        <v>15</v>
      </c>
      <c r="O113">
        <v>5999</v>
      </c>
      <c r="P113" t="s">
        <v>1</v>
      </c>
      <c r="Q113">
        <v>17</v>
      </c>
      <c r="R113">
        <v>0</v>
      </c>
      <c r="S113"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13" s="9">
        <v>45547</v>
      </c>
      <c r="U113" s="9">
        <v>45564</v>
      </c>
      <c r="X113" t="s">
        <v>0</v>
      </c>
    </row>
    <row r="114" spans="1:24" x14ac:dyDescent="0.3">
      <c r="A114" t="s">
        <v>50</v>
      </c>
      <c r="B114" t="s">
        <v>5</v>
      </c>
      <c r="C114" t="s">
        <v>51</v>
      </c>
      <c r="D114" t="s">
        <v>324</v>
      </c>
      <c r="E114" t="s">
        <v>278</v>
      </c>
      <c r="F114" t="s">
        <v>243</v>
      </c>
      <c r="G114" t="s">
        <v>53</v>
      </c>
      <c r="H114" t="s">
        <v>282</v>
      </c>
      <c r="I114" t="s">
        <v>6</v>
      </c>
      <c r="J114" t="s">
        <v>5</v>
      </c>
      <c r="K114" t="s">
        <v>52</v>
      </c>
      <c r="L114" t="s">
        <v>51</v>
      </c>
      <c r="M114">
        <v>120</v>
      </c>
      <c r="N114" t="s">
        <v>2</v>
      </c>
      <c r="O114">
        <v>17886</v>
      </c>
      <c r="P114" t="s">
        <v>1</v>
      </c>
      <c r="Q114">
        <v>45</v>
      </c>
      <c r="R114">
        <v>0</v>
      </c>
      <c r="S114"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14" s="9">
        <v>45549</v>
      </c>
      <c r="U114" s="9">
        <v>45594</v>
      </c>
      <c r="X114" t="s">
        <v>0</v>
      </c>
    </row>
    <row r="115" spans="1:24" x14ac:dyDescent="0.3">
      <c r="A115" t="s">
        <v>50</v>
      </c>
      <c r="B115" t="s">
        <v>5</v>
      </c>
      <c r="C115" t="s">
        <v>51</v>
      </c>
      <c r="D115" t="s">
        <v>324</v>
      </c>
      <c r="E115" t="s">
        <v>278</v>
      </c>
      <c r="F115" t="s">
        <v>243</v>
      </c>
      <c r="G115" t="s">
        <v>53</v>
      </c>
      <c r="H115" t="s">
        <v>282</v>
      </c>
      <c r="I115" t="s">
        <v>6</v>
      </c>
      <c r="J115" t="s">
        <v>5</v>
      </c>
      <c r="K115" t="s">
        <v>52</v>
      </c>
      <c r="L115" t="s">
        <v>51</v>
      </c>
      <c r="M115">
        <v>120</v>
      </c>
      <c r="N115" t="s">
        <v>2</v>
      </c>
      <c r="O115">
        <v>17886</v>
      </c>
      <c r="P115" t="s">
        <v>1</v>
      </c>
      <c r="Q115">
        <v>45</v>
      </c>
      <c r="R115">
        <v>0</v>
      </c>
      <c r="S115"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15" s="9">
        <v>45549</v>
      </c>
      <c r="U115" s="9">
        <v>45594</v>
      </c>
      <c r="X115" t="s">
        <v>0</v>
      </c>
    </row>
    <row r="116" spans="1:24" x14ac:dyDescent="0.3">
      <c r="A116" t="s">
        <v>44</v>
      </c>
      <c r="B116" t="s">
        <v>5</v>
      </c>
      <c r="C116" t="s">
        <v>321</v>
      </c>
      <c r="D116" t="s">
        <v>322</v>
      </c>
      <c r="E116" t="s">
        <v>49</v>
      </c>
      <c r="F116" t="s">
        <v>243</v>
      </c>
      <c r="G116" t="s">
        <v>48</v>
      </c>
      <c r="H116" t="s">
        <v>285</v>
      </c>
      <c r="I116" t="s">
        <v>6</v>
      </c>
      <c r="J116" t="s">
        <v>209</v>
      </c>
      <c r="K116" t="s">
        <v>46</v>
      </c>
      <c r="N116" t="s">
        <v>15</v>
      </c>
      <c r="O116">
        <v>21999</v>
      </c>
      <c r="P116" t="s">
        <v>1</v>
      </c>
      <c r="Q116">
        <v>67</v>
      </c>
      <c r="R116">
        <v>0</v>
      </c>
      <c r="S116"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16" s="9">
        <v>45549</v>
      </c>
      <c r="U116" s="9">
        <v>45616</v>
      </c>
      <c r="X116" t="s">
        <v>0</v>
      </c>
    </row>
    <row r="117" spans="1:24" x14ac:dyDescent="0.3">
      <c r="A117" t="s">
        <v>328</v>
      </c>
      <c r="B117" t="s">
        <v>329</v>
      </c>
      <c r="C117" t="s">
        <v>321</v>
      </c>
      <c r="D117" t="s">
        <v>322</v>
      </c>
      <c r="E117" t="s">
        <v>43</v>
      </c>
      <c r="F117" t="s">
        <v>243</v>
      </c>
      <c r="G117" t="s">
        <v>42</v>
      </c>
      <c r="H117" t="s">
        <v>283</v>
      </c>
      <c r="I117" t="s">
        <v>6</v>
      </c>
      <c r="J117" t="s">
        <v>41</v>
      </c>
      <c r="K117" t="s">
        <v>16</v>
      </c>
      <c r="O117">
        <v>8349</v>
      </c>
      <c r="P117" t="s">
        <v>295</v>
      </c>
      <c r="Q117">
        <v>45</v>
      </c>
      <c r="R117">
        <v>0</v>
      </c>
      <c r="S117"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17" s="9">
        <v>45561</v>
      </c>
      <c r="U117" s="9">
        <v>45606</v>
      </c>
      <c r="X117" t="s">
        <v>0</v>
      </c>
    </row>
    <row r="118" spans="1:24" x14ac:dyDescent="0.3">
      <c r="A118" t="s">
        <v>328</v>
      </c>
      <c r="B118" t="s">
        <v>329</v>
      </c>
      <c r="C118" t="s">
        <v>321</v>
      </c>
      <c r="D118" t="s">
        <v>322</v>
      </c>
      <c r="E118" t="s">
        <v>32</v>
      </c>
      <c r="F118" t="s">
        <v>247</v>
      </c>
      <c r="H118" t="s">
        <v>314</v>
      </c>
      <c r="I118" t="s">
        <v>32</v>
      </c>
      <c r="J118" t="s">
        <v>5</v>
      </c>
      <c r="K118" t="s">
        <v>24</v>
      </c>
      <c r="L118" t="s">
        <v>31</v>
      </c>
      <c r="M118">
        <v>100</v>
      </c>
      <c r="N118" t="s">
        <v>10</v>
      </c>
      <c r="O118">
        <v>9208</v>
      </c>
      <c r="P118" t="s">
        <v>295</v>
      </c>
      <c r="Q118">
        <v>18</v>
      </c>
      <c r="R118">
        <v>0</v>
      </c>
      <c r="S118"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18" s="9">
        <v>45561</v>
      </c>
      <c r="U118" s="9">
        <v>45579</v>
      </c>
      <c r="X118" t="s">
        <v>0</v>
      </c>
    </row>
    <row r="119" spans="1:24" x14ac:dyDescent="0.3">
      <c r="A119" t="s">
        <v>328</v>
      </c>
      <c r="B119" t="s">
        <v>329</v>
      </c>
      <c r="C119" t="s">
        <v>321</v>
      </c>
      <c r="D119" t="s">
        <v>322</v>
      </c>
      <c r="E119" t="s">
        <v>40</v>
      </c>
      <c r="F119" t="s">
        <v>243</v>
      </c>
      <c r="G119" t="s">
        <v>39</v>
      </c>
      <c r="H119" t="s">
        <v>282</v>
      </c>
      <c r="I119" t="s">
        <v>6</v>
      </c>
      <c r="J119" t="s">
        <v>5</v>
      </c>
      <c r="K119" t="s">
        <v>38</v>
      </c>
      <c r="N119" t="s">
        <v>15</v>
      </c>
      <c r="O119">
        <v>8899</v>
      </c>
      <c r="P119" t="s">
        <v>295</v>
      </c>
      <c r="Q119">
        <v>45</v>
      </c>
      <c r="R119">
        <v>0</v>
      </c>
      <c r="S119"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19" s="9">
        <v>45568</v>
      </c>
      <c r="U119" s="9">
        <v>45613</v>
      </c>
      <c r="X119" t="s">
        <v>0</v>
      </c>
    </row>
    <row r="120" spans="1:24" x14ac:dyDescent="0.3">
      <c r="A120" t="s">
        <v>328</v>
      </c>
      <c r="B120" t="s">
        <v>329</v>
      </c>
      <c r="C120" t="s">
        <v>321</v>
      </c>
      <c r="D120" t="s">
        <v>322</v>
      </c>
      <c r="E120" t="s">
        <v>37</v>
      </c>
      <c r="F120" t="s">
        <v>247</v>
      </c>
      <c r="G120" t="s">
        <v>36</v>
      </c>
      <c r="H120" t="s">
        <v>282</v>
      </c>
      <c r="I120" t="s">
        <v>35</v>
      </c>
      <c r="J120" t="s">
        <v>5</v>
      </c>
      <c r="K120" t="s">
        <v>24</v>
      </c>
      <c r="L120" t="s">
        <v>34</v>
      </c>
      <c r="M120">
        <v>100</v>
      </c>
      <c r="N120" t="s">
        <v>33</v>
      </c>
      <c r="O120">
        <v>8544.91</v>
      </c>
      <c r="P120" t="s">
        <v>27</v>
      </c>
      <c r="Q120">
        <v>0</v>
      </c>
      <c r="R120">
        <v>0</v>
      </c>
      <c r="S120"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20" s="9">
        <v>45587</v>
      </c>
      <c r="X120" t="s">
        <v>0</v>
      </c>
    </row>
    <row r="121" spans="1:24" x14ac:dyDescent="0.3">
      <c r="A121" t="s">
        <v>328</v>
      </c>
      <c r="B121" t="s">
        <v>329</v>
      </c>
      <c r="C121" t="s">
        <v>321</v>
      </c>
      <c r="D121" t="s">
        <v>322</v>
      </c>
      <c r="E121" t="s">
        <v>32</v>
      </c>
      <c r="F121" t="s">
        <v>247</v>
      </c>
      <c r="H121" t="s">
        <v>314</v>
      </c>
      <c r="I121" t="s">
        <v>32</v>
      </c>
      <c r="J121" t="s">
        <v>5</v>
      </c>
      <c r="K121" t="s">
        <v>24</v>
      </c>
      <c r="L121" t="s">
        <v>31</v>
      </c>
      <c r="M121">
        <v>100</v>
      </c>
      <c r="N121" t="s">
        <v>15</v>
      </c>
      <c r="O121">
        <v>10045</v>
      </c>
      <c r="P121" t="s">
        <v>295</v>
      </c>
      <c r="Q121">
        <v>21</v>
      </c>
      <c r="R121">
        <v>0</v>
      </c>
      <c r="S121"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21" s="9">
        <v>45591</v>
      </c>
      <c r="U121" s="9">
        <v>45612</v>
      </c>
      <c r="X121" t="s">
        <v>0</v>
      </c>
    </row>
    <row r="122" spans="1:24" x14ac:dyDescent="0.3">
      <c r="A122" t="s">
        <v>328</v>
      </c>
      <c r="B122" t="s">
        <v>329</v>
      </c>
      <c r="C122" t="s">
        <v>321</v>
      </c>
      <c r="D122" t="s">
        <v>322</v>
      </c>
      <c r="E122" t="s">
        <v>249</v>
      </c>
      <c r="F122" t="s">
        <v>247</v>
      </c>
      <c r="G122" t="s">
        <v>30</v>
      </c>
      <c r="H122" t="s">
        <v>282</v>
      </c>
      <c r="I122" t="s">
        <v>91</v>
      </c>
      <c r="J122" t="s">
        <v>5</v>
      </c>
      <c r="K122" t="s">
        <v>29</v>
      </c>
      <c r="L122" t="s">
        <v>28</v>
      </c>
      <c r="M122">
        <v>160</v>
      </c>
      <c r="N122" t="s">
        <v>15</v>
      </c>
      <c r="O122">
        <v>5100</v>
      </c>
      <c r="P122" t="s">
        <v>27</v>
      </c>
      <c r="Q122">
        <v>24</v>
      </c>
      <c r="R122">
        <v>0</v>
      </c>
      <c r="S122"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22" s="9">
        <v>45610</v>
      </c>
      <c r="U122" s="9">
        <v>45634</v>
      </c>
      <c r="X122" t="s">
        <v>0</v>
      </c>
    </row>
    <row r="123" spans="1:24" x14ac:dyDescent="0.3">
      <c r="A123" t="s">
        <v>328</v>
      </c>
      <c r="B123" t="s">
        <v>329</v>
      </c>
      <c r="C123" t="s">
        <v>321</v>
      </c>
      <c r="D123" t="s">
        <v>322</v>
      </c>
      <c r="E123" t="s">
        <v>26</v>
      </c>
      <c r="F123" t="s">
        <v>243</v>
      </c>
      <c r="G123" t="s">
        <v>25</v>
      </c>
      <c r="H123" t="s">
        <v>284</v>
      </c>
      <c r="I123" t="s">
        <v>6</v>
      </c>
      <c r="J123" t="s">
        <v>5</v>
      </c>
      <c r="K123" t="s">
        <v>24</v>
      </c>
      <c r="L123" t="s">
        <v>23</v>
      </c>
      <c r="M123">
        <v>100</v>
      </c>
      <c r="N123" t="s">
        <v>15</v>
      </c>
      <c r="O123">
        <v>14905</v>
      </c>
      <c r="P123" t="s">
        <v>1</v>
      </c>
      <c r="Q123">
        <v>16</v>
      </c>
      <c r="R123">
        <v>0</v>
      </c>
      <c r="S123"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23" s="9">
        <v>45625</v>
      </c>
      <c r="U123" s="9">
        <v>45641</v>
      </c>
      <c r="W123" t="s">
        <v>22</v>
      </c>
      <c r="X123" t="s">
        <v>0</v>
      </c>
    </row>
    <row r="124" spans="1:24" x14ac:dyDescent="0.3">
      <c r="A124" t="s">
        <v>328</v>
      </c>
      <c r="B124" t="s">
        <v>329</v>
      </c>
      <c r="C124" t="s">
        <v>321</v>
      </c>
      <c r="D124" t="s">
        <v>322</v>
      </c>
      <c r="E124" t="s">
        <v>18</v>
      </c>
      <c r="F124" t="s">
        <v>243</v>
      </c>
      <c r="G124" t="s">
        <v>17</v>
      </c>
      <c r="H124" t="s">
        <v>282</v>
      </c>
      <c r="I124" t="s">
        <v>6</v>
      </c>
      <c r="J124" t="s">
        <v>41</v>
      </c>
      <c r="K124" t="s">
        <v>21</v>
      </c>
      <c r="L124" t="s">
        <v>20</v>
      </c>
      <c r="N124" t="s">
        <v>10</v>
      </c>
      <c r="O124">
        <v>10249</v>
      </c>
      <c r="P124" t="s">
        <v>1</v>
      </c>
      <c r="Q124">
        <v>12</v>
      </c>
      <c r="R124">
        <v>0</v>
      </c>
      <c r="S124"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24" s="9">
        <v>45626</v>
      </c>
      <c r="U124" s="9">
        <v>45638</v>
      </c>
      <c r="X124" t="s">
        <v>0</v>
      </c>
    </row>
    <row r="125" spans="1:24" x14ac:dyDescent="0.3">
      <c r="A125" t="s">
        <v>328</v>
      </c>
      <c r="B125" t="s">
        <v>329</v>
      </c>
      <c r="C125" t="s">
        <v>321</v>
      </c>
      <c r="D125" t="s">
        <v>322</v>
      </c>
      <c r="E125" t="s">
        <v>18</v>
      </c>
      <c r="F125" t="s">
        <v>243</v>
      </c>
      <c r="G125" t="s">
        <v>17</v>
      </c>
      <c r="H125" t="s">
        <v>282</v>
      </c>
      <c r="I125" t="s">
        <v>6</v>
      </c>
      <c r="J125" t="s">
        <v>41</v>
      </c>
      <c r="K125" t="s">
        <v>16</v>
      </c>
      <c r="N125" t="s">
        <v>15</v>
      </c>
      <c r="O125">
        <v>9029</v>
      </c>
      <c r="P125" t="s">
        <v>1</v>
      </c>
      <c r="Q125">
        <v>12</v>
      </c>
      <c r="R125">
        <v>0</v>
      </c>
      <c r="S125"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25" s="9">
        <v>45626</v>
      </c>
      <c r="U125" s="9">
        <v>45638</v>
      </c>
      <c r="X125" t="s">
        <v>0</v>
      </c>
    </row>
    <row r="126" spans="1:24" x14ac:dyDescent="0.3">
      <c r="A126" t="s">
        <v>328</v>
      </c>
      <c r="B126" t="s">
        <v>329</v>
      </c>
      <c r="C126" t="s">
        <v>321</v>
      </c>
      <c r="D126" t="s">
        <v>322</v>
      </c>
      <c r="E126" t="s">
        <v>13</v>
      </c>
      <c r="F126" t="s">
        <v>243</v>
      </c>
      <c r="G126" t="s">
        <v>12</v>
      </c>
      <c r="H126" t="s">
        <v>133</v>
      </c>
      <c r="I126" t="s">
        <v>6</v>
      </c>
      <c r="J126" t="s">
        <v>41</v>
      </c>
      <c r="K126" t="s">
        <v>11</v>
      </c>
      <c r="N126" t="s">
        <v>10</v>
      </c>
      <c r="O126">
        <v>9029</v>
      </c>
      <c r="P126" t="s">
        <v>1</v>
      </c>
      <c r="Q126">
        <v>12</v>
      </c>
      <c r="R126">
        <v>0</v>
      </c>
      <c r="S126"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26" s="9">
        <v>45626</v>
      </c>
      <c r="U126" s="9">
        <v>45638</v>
      </c>
      <c r="X126" t="s">
        <v>0</v>
      </c>
    </row>
    <row r="127" spans="1:24" x14ac:dyDescent="0.3">
      <c r="A127" t="s">
        <v>328</v>
      </c>
      <c r="B127" t="s">
        <v>329</v>
      </c>
      <c r="C127" t="s">
        <v>321</v>
      </c>
      <c r="D127" t="s">
        <v>322</v>
      </c>
      <c r="E127" t="s">
        <v>8</v>
      </c>
      <c r="F127" t="s">
        <v>243</v>
      </c>
      <c r="G127" t="s">
        <v>7</v>
      </c>
      <c r="H127" t="s">
        <v>282</v>
      </c>
      <c r="I127" t="s">
        <v>6</v>
      </c>
      <c r="J127" t="s">
        <v>5</v>
      </c>
      <c r="K127" t="s">
        <v>4</v>
      </c>
      <c r="L127" t="s">
        <v>3</v>
      </c>
      <c r="M127">
        <v>80</v>
      </c>
      <c r="N127" t="s">
        <v>2</v>
      </c>
      <c r="O127">
        <v>12099</v>
      </c>
      <c r="P127" t="s">
        <v>1</v>
      </c>
      <c r="Q127">
        <v>15</v>
      </c>
      <c r="R127">
        <v>0</v>
      </c>
      <c r="S127" t="str">
        <f>IF(OR(misuo__3[[#This Row],[معاد التسليم الهدف]]=0,misuo__3[[#This Row],[معاد التسليم الفعلي]]=0 ), "فراغ قيم", IF(misuo__3[[#This Row],[معاد التسليم الفعلي]]&lt;=misuo__3[[#This Row],[معاد التسليم الهدف]], "في الموعد", "متأخر"))</f>
        <v>فراغ قيم</v>
      </c>
      <c r="T127" s="9">
        <v>45628</v>
      </c>
      <c r="U127" s="9">
        <v>45643</v>
      </c>
      <c r="X127" t="s">
        <v>0</v>
      </c>
    </row>
  </sheetData>
  <phoneticPr fontId="1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AB1D9-CE1C-4A57-AB8C-A2D7A7320402}">
  <sheetPr>
    <pageSetUpPr fitToPage="1"/>
  </sheetPr>
  <dimension ref="A1"/>
  <sheetViews>
    <sheetView tabSelected="1" topLeftCell="A5" zoomScale="92" zoomScaleNormal="92" workbookViewId="0">
      <selection activeCell="P29" sqref="P29"/>
    </sheetView>
  </sheetViews>
  <sheetFormatPr defaultRowHeight="14.4" x14ac:dyDescent="0.3"/>
  <cols>
    <col min="1" max="16384" width="8.88671875" style="51"/>
  </cols>
  <sheetData/>
  <pageMargins left="0" right="0" top="1" bottom="2.25" header="0.3" footer="0.3"/>
  <pageSetup paperSize="9" scale="69" fitToHeight="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C93A42-FA23-4816-968F-3510A50F42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source</vt:lpstr>
      <vt:lpstr>الارشادات</vt:lpstr>
      <vt:lpstr>pivot TABLE</vt:lpstr>
      <vt:lpstr>الداتا النظيفة</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Abdallah Nasef</dc:creator>
  <cp:lastModifiedBy>Abdallah Nasef</cp:lastModifiedBy>
  <cp:lastPrinted>2026-03-25T03:52:05Z</cp:lastPrinted>
  <dcterms:created xsi:type="dcterms:W3CDTF">2026-03-21T02:01:00Z</dcterms:created>
  <dcterms:modified xsi:type="dcterms:W3CDTF">2026-03-25T04:06:28Z</dcterms:modified>
</cp:coreProperties>
</file>